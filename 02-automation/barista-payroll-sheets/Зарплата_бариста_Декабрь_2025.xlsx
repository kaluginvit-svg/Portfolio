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вки" sheetId="1" state="visible" r:id="rId1"/>
    <sheet xmlns:r="http://schemas.openxmlformats.org/officeDocument/2006/relationships" name="Бонусы" sheetId="2" state="visible" r:id="rId2"/>
    <sheet xmlns:r="http://schemas.openxmlformats.org/officeDocument/2006/relationships" name="Смены" sheetId="3" state="visible" r:id="rId3"/>
    <sheet xmlns:r="http://schemas.openxmlformats.org/officeDocument/2006/relationships" name="Зарплата_перио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₽&quot;#,##0"/>
    <numFmt numFmtId="165" formatCode="yyyy-mm-dd"/>
    <numFmt numFmtId="166" formatCode="dd.mm.yyyy"/>
    <numFmt numFmtId="167" formatCode="hh:mm"/>
    <numFmt numFmtId="168" formatCode="&quot;₽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0" fontId="0" fillId="0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6" fontId="0" fillId="3" borderId="1" applyAlignment="1" pivotButton="0" quotePrefix="0" xfId="0">
      <alignment horizontal="center" vertical="center" wrapText="1"/>
    </xf>
    <xf numFmtId="167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1" fontId="0" fillId="0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  <xf numFmtId="0" fontId="2" fillId="0" borderId="0" pivotButton="0" quotePrefix="0" xfId="0"/>
    <xf numFmtId="0" fontId="3" fillId="4" borderId="1" applyAlignment="1" pivotButton="0" quotePrefix="0" xfId="0">
      <alignment horizontal="left" vertical="center" wrapText="1"/>
    </xf>
    <xf numFmtId="2" fontId="3" fillId="4" borderId="1" applyAlignment="1" pivotButton="0" quotePrefix="0" xfId="0">
      <alignment horizontal="right" vertical="center" wrapText="1"/>
    </xf>
    <xf numFmtId="168" fontId="3" fillId="4" borderId="1" applyAlignment="1" pivotButton="0" quotePrefix="0" xfId="0">
      <alignment horizontal="right" vertical="center" wrapText="1"/>
    </xf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Rates" displayName="tblRates" ref="A1:C6" headerRowCount="1">
  <autoFilter ref="A1:C6"/>
  <tableColumns count="3">
    <tableColumn id="1" name="Сотрудник"/>
    <tableColumn id="2" name="Почасовая ставка (₽/ч)"/>
    <tableColumn id="3" name="Процент от выручки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BonusTiers" displayName="tblBonusTiers" ref="A6:B11" headerRowCount="1">
  <autoFilter ref="A6:B11"/>
  <tableColumns count="2">
    <tableColumn id="1" name="Порог выручки (₽)"/>
    <tableColumn id="2" name="Бонус (₽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Shifts" displayName="tblShifts" ref="A1:M102" headerRowCount="1">
  <autoFilter ref="A1:M102"/>
  <tableColumns count="13">
    <tableColumn id="1" name="Дата"/>
    <tableColumn id="2" name="Сотрудник"/>
    <tableColumn id="3" name="Начало смены"/>
    <tableColumn id="4" name="Окончание смены"/>
    <tableColumn id="5" name="Выручка за смену (₽)"/>
    <tableColumn id="6" name="Отработанные часы"/>
    <tableColumn id="7" name="Множитель (31.12=2)"/>
    <tableColumn id="8" name="Ставка (₽/ч)"/>
    <tableColumn id="9" name="% от выручки"/>
    <tableColumn id="10" name="Базовая зарплата (₽)"/>
    <tableColumn id="11" name="Процент (₽)"/>
    <tableColumn id="12" name="Бонус KPI (₽)"/>
    <tableColumn id="13" name="Итого за смену (₽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0" customWidth="1" min="3" max="3"/>
  </cols>
  <sheetData>
    <row r="1">
      <c r="A1" s="1" t="inlineStr">
        <is>
          <t>Сотрудник</t>
        </is>
      </c>
      <c r="B1" s="1" t="inlineStr">
        <is>
          <t>Почасовая ставка (₽/ч)</t>
        </is>
      </c>
      <c r="C1" s="1" t="inlineStr">
        <is>
          <t>Процент от выручки</t>
        </is>
      </c>
    </row>
    <row r="2">
      <c r="A2" s="2" t="inlineStr">
        <is>
          <t>Анна</t>
        </is>
      </c>
      <c r="B2" s="3" t="n">
        <v>320</v>
      </c>
      <c r="C2" s="4" t="n">
        <v>0.008999999999999999</v>
      </c>
    </row>
    <row r="3">
      <c r="A3" s="2" t="inlineStr">
        <is>
          <t>Илья</t>
        </is>
      </c>
      <c r="B3" s="3" t="n">
        <v>300</v>
      </c>
      <c r="C3" s="4" t="n">
        <v>0.008</v>
      </c>
    </row>
    <row r="4">
      <c r="A4" s="2" t="inlineStr">
        <is>
          <t>Мария</t>
        </is>
      </c>
      <c r="B4" s="3" t="n">
        <v>340</v>
      </c>
      <c r="C4" s="4" t="n">
        <v>0.01</v>
      </c>
    </row>
    <row r="5">
      <c r="A5" s="2" t="inlineStr">
        <is>
          <t>Сергей</t>
        </is>
      </c>
      <c r="B5" s="3" t="n">
        <v>290</v>
      </c>
      <c r="C5" s="4" t="n">
        <v>0.0075</v>
      </c>
    </row>
    <row r="6">
      <c r="A6" s="2" t="inlineStr">
        <is>
          <t>Ольга</t>
        </is>
      </c>
      <c r="B6" s="3" t="n">
        <v>330</v>
      </c>
      <c r="C6" s="4" t="n">
        <v>0.0095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46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5" t="inlineStr">
        <is>
          <t>Правило</t>
        </is>
      </c>
      <c r="B2" s="2" t="inlineStr">
        <is>
          <t>Бонус по KPI начисляется по таблице порогов (выручка за смену).</t>
        </is>
      </c>
    </row>
    <row r="3">
      <c r="A3" s="5" t="inlineStr">
        <is>
          <t>Примечание</t>
        </is>
      </c>
      <c r="B3" s="2" t="inlineStr">
        <is>
          <t>31.12.2025: двойная оплата базовой части (почасовая ставка × 2).</t>
        </is>
      </c>
    </row>
    <row r="4">
      <c r="A4" s="5" t="inlineStr">
        <is>
          <t>План (минимальный порог), ₽</t>
        </is>
      </c>
      <c r="B4" s="6" t="n">
        <v>28000</v>
      </c>
    </row>
    <row r="5"/>
    <row r="6">
      <c r="A6" s="1" t="inlineStr">
        <is>
          <t>Порог выручки (₽)</t>
        </is>
      </c>
      <c r="B6" s="1" t="inlineStr">
        <is>
          <t>Бонус (₽)</t>
        </is>
      </c>
    </row>
    <row r="7">
      <c r="A7" s="3" t="n">
        <v>0</v>
      </c>
      <c r="B7" s="3" t="n">
        <v>0</v>
      </c>
    </row>
    <row r="8">
      <c r="A8" s="3" t="n">
        <v>28000</v>
      </c>
      <c r="B8" s="3" t="n">
        <v>400</v>
      </c>
    </row>
    <row r="9">
      <c r="A9" s="3" t="n">
        <v>32000</v>
      </c>
      <c r="B9" s="3" t="n">
        <v>600</v>
      </c>
    </row>
    <row r="10">
      <c r="A10" s="3" t="n">
        <v>38000</v>
      </c>
      <c r="B10" s="3" t="n">
        <v>900</v>
      </c>
    </row>
    <row r="11">
      <c r="A11" s="3" t="n">
        <v>45000</v>
      </c>
      <c r="B11" s="3" t="n">
        <v>1300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7" customWidth="1" min="4" max="4"/>
    <col width="22" customWidth="1" min="5" max="5"/>
    <col width="46" customWidth="1" min="6" max="6"/>
    <col width="32" customWidth="1" min="7" max="7"/>
    <col width="43" customWidth="1" min="8" max="8"/>
    <col width="43" customWidth="1" min="9" max="9"/>
    <col width="22" customWidth="1" min="10" max="10"/>
    <col width="13" customWidth="1" min="11" max="11"/>
    <col width="46" customWidth="1" min="12" max="12"/>
    <col width="20" customWidth="1" min="13" max="13"/>
  </cols>
  <sheetData>
    <row r="1">
      <c r="A1" s="1" t="inlineStr">
        <is>
          <t>Дата</t>
        </is>
      </c>
      <c r="B1" s="1" t="inlineStr">
        <is>
          <t>Сотрудник</t>
        </is>
      </c>
      <c r="C1" s="1" t="inlineStr">
        <is>
          <t>Начало смены</t>
        </is>
      </c>
      <c r="D1" s="1" t="inlineStr">
        <is>
          <t>Окончание смены</t>
        </is>
      </c>
      <c r="E1" s="1" t="inlineStr">
        <is>
          <t>Выручка за смену (₽)</t>
        </is>
      </c>
      <c r="F1" s="1" t="inlineStr">
        <is>
          <t>Отработанные часы</t>
        </is>
      </c>
      <c r="G1" s="1" t="inlineStr">
        <is>
          <t>Множитель (31.12=2)</t>
        </is>
      </c>
      <c r="H1" s="1" t="inlineStr">
        <is>
          <t>Ставка (₽/ч)</t>
        </is>
      </c>
      <c r="I1" s="1" t="inlineStr">
        <is>
          <t>% от выручки</t>
        </is>
      </c>
      <c r="J1" s="1" t="inlineStr">
        <is>
          <t>Базовая зарплата (₽)</t>
        </is>
      </c>
      <c r="K1" s="1" t="inlineStr">
        <is>
          <t>Процент (₽)</t>
        </is>
      </c>
      <c r="L1" s="1" t="inlineStr">
        <is>
          <t>Бонус KPI (₽)</t>
        </is>
      </c>
      <c r="M1" s="1" t="inlineStr">
        <is>
          <t>Итого за смену (₽)</t>
        </is>
      </c>
    </row>
    <row r="2">
      <c r="A2" s="7" t="n">
        <v>45992</v>
      </c>
      <c r="B2" s="5" t="inlineStr">
        <is>
          <t>Илья</t>
        </is>
      </c>
      <c r="C2" s="8" t="n">
        <v>0.2916666666666667</v>
      </c>
      <c r="D2" s="8" t="n">
        <v>0.6354166666666666</v>
      </c>
      <c r="E2" s="9" t="n">
        <v>25794</v>
      </c>
      <c r="F2" s="10">
        <f>IF(D2&lt;C2, (D2+1-C2)*24, (D2-C2)*24)</f>
        <v/>
      </c>
      <c r="G2" s="11">
        <f>IF(A2=DATE(2025,12,31),2,1)</f>
        <v/>
      </c>
      <c r="H2" s="3">
        <f>VLOOKUP(B2,Ставки!$A$2:$C$100,2,FALSE)</f>
        <v/>
      </c>
      <c r="I2" s="4">
        <f>VLOOKUP(B2,Ставки!$A$2:$C$100,3,FALSE)</f>
        <v/>
      </c>
      <c r="J2" s="12">
        <f>F2*H2*G2</f>
        <v/>
      </c>
      <c r="K2" s="12">
        <f>E2*I2</f>
        <v/>
      </c>
      <c r="L2" s="3">
        <f>LOOKUP(E2,Бонусы!$A$7:$A$11,Бонусы!$B$7:$B$11)</f>
        <v/>
      </c>
      <c r="M2" s="12">
        <f>J2+K2+L2</f>
        <v/>
      </c>
    </row>
    <row r="3">
      <c r="A3" s="7" t="n">
        <v>45992</v>
      </c>
      <c r="B3" s="5" t="inlineStr">
        <is>
          <t>Мария</t>
        </is>
      </c>
      <c r="C3" s="8" t="n">
        <v>0.4270833333333333</v>
      </c>
      <c r="D3" s="8" t="n">
        <v>0.75</v>
      </c>
      <c r="E3" s="9" t="n">
        <v>38871</v>
      </c>
      <c r="F3" s="10">
        <f>IF(D3&lt;C3, (D3+1-C3)*24, (D3-C3)*24)</f>
        <v/>
      </c>
      <c r="G3" s="11">
        <f>IF(A3=DATE(2025,12,31),2,1)</f>
        <v/>
      </c>
      <c r="H3" s="3">
        <f>VLOOKUP(B3,Ставки!$A$2:$C$100,2,FALSE)</f>
        <v/>
      </c>
      <c r="I3" s="4">
        <f>VLOOKUP(B3,Ставки!$A$2:$C$100,3,FALSE)</f>
        <v/>
      </c>
      <c r="J3" s="12">
        <f>F3*H3*G3</f>
        <v/>
      </c>
      <c r="K3" s="12">
        <f>E3*I3</f>
        <v/>
      </c>
      <c r="L3" s="3">
        <f>LOOKUP(E3,Бонусы!$A$7:$A$11,Бонусы!$B$7:$B$11)</f>
        <v/>
      </c>
      <c r="M3" s="12">
        <f>J3+K3+L3</f>
        <v/>
      </c>
    </row>
    <row r="4">
      <c r="A4" s="7" t="n">
        <v>45992</v>
      </c>
      <c r="B4" s="5" t="inlineStr">
        <is>
          <t>Ольга</t>
        </is>
      </c>
      <c r="C4" s="8" t="n">
        <v>0.6458333333333334</v>
      </c>
      <c r="D4" s="8" t="n">
        <v>0.9583333333333334</v>
      </c>
      <c r="E4" s="9" t="n">
        <v>46817</v>
      </c>
      <c r="F4" s="10">
        <f>IF(D4&lt;C4, (D4+1-C4)*24, (D4-C4)*24)</f>
        <v/>
      </c>
      <c r="G4" s="11">
        <f>IF(A4=DATE(2025,12,31),2,1)</f>
        <v/>
      </c>
      <c r="H4" s="3">
        <f>VLOOKUP(B4,Ставки!$A$2:$C$100,2,FALSE)</f>
        <v/>
      </c>
      <c r="I4" s="4">
        <f>VLOOKUP(B4,Ставки!$A$2:$C$100,3,FALSE)</f>
        <v/>
      </c>
      <c r="J4" s="12">
        <f>F4*H4*G4</f>
        <v/>
      </c>
      <c r="K4" s="12">
        <f>E4*I4</f>
        <v/>
      </c>
      <c r="L4" s="3">
        <f>LOOKUP(E4,Бонусы!$A$7:$A$11,Бонусы!$B$7:$B$11)</f>
        <v/>
      </c>
      <c r="M4" s="12">
        <f>J4+K4+L4</f>
        <v/>
      </c>
    </row>
    <row r="5">
      <c r="A5" s="7" t="n">
        <v>45993</v>
      </c>
      <c r="B5" s="5" t="inlineStr">
        <is>
          <t>Сергей</t>
        </is>
      </c>
      <c r="C5" s="8" t="n">
        <v>0.2916666666666667</v>
      </c>
      <c r="D5" s="8" t="n">
        <v>0.6354166666666666</v>
      </c>
      <c r="E5" s="9" t="n">
        <v>23280</v>
      </c>
      <c r="F5" s="10">
        <f>IF(D5&lt;C5, (D5+1-C5)*24, (D5-C5)*24)</f>
        <v/>
      </c>
      <c r="G5" s="11">
        <f>IF(A5=DATE(2025,12,31),2,1)</f>
        <v/>
      </c>
      <c r="H5" s="3">
        <f>VLOOKUP(B5,Ставки!$A$2:$C$100,2,FALSE)</f>
        <v/>
      </c>
      <c r="I5" s="4">
        <f>VLOOKUP(B5,Ставки!$A$2:$C$100,3,FALSE)</f>
        <v/>
      </c>
      <c r="J5" s="12">
        <f>F5*H5*G5</f>
        <v/>
      </c>
      <c r="K5" s="12">
        <f>E5*I5</f>
        <v/>
      </c>
      <c r="L5" s="3">
        <f>LOOKUP(E5,Бонусы!$A$7:$A$11,Бонусы!$B$7:$B$11)</f>
        <v/>
      </c>
      <c r="M5" s="12">
        <f>J5+K5+L5</f>
        <v/>
      </c>
    </row>
    <row r="6">
      <c r="A6" s="7" t="n">
        <v>45993</v>
      </c>
      <c r="B6" s="5" t="inlineStr">
        <is>
          <t>Анна</t>
        </is>
      </c>
      <c r="C6" s="8" t="n">
        <v>0.4375</v>
      </c>
      <c r="D6" s="8" t="n">
        <v>0.7708333333333334</v>
      </c>
      <c r="E6" s="9" t="n">
        <v>27516</v>
      </c>
      <c r="F6" s="10">
        <f>IF(D6&lt;C6, (D6+1-C6)*24, (D6-C6)*24)</f>
        <v/>
      </c>
      <c r="G6" s="11">
        <f>IF(A6=DATE(2025,12,31),2,1)</f>
        <v/>
      </c>
      <c r="H6" s="3">
        <f>VLOOKUP(B6,Ставки!$A$2:$C$100,2,FALSE)</f>
        <v/>
      </c>
      <c r="I6" s="4">
        <f>VLOOKUP(B6,Ставки!$A$2:$C$100,3,FALSE)</f>
        <v/>
      </c>
      <c r="J6" s="12">
        <f>F6*H6*G6</f>
        <v/>
      </c>
      <c r="K6" s="12">
        <f>E6*I6</f>
        <v/>
      </c>
      <c r="L6" s="3">
        <f>LOOKUP(E6,Бонусы!$A$7:$A$11,Бонусы!$B$7:$B$11)</f>
        <v/>
      </c>
      <c r="M6" s="12">
        <f>J6+K6+L6</f>
        <v/>
      </c>
    </row>
    <row r="7">
      <c r="A7" s="7" t="n">
        <v>45993</v>
      </c>
      <c r="B7" s="5" t="inlineStr">
        <is>
          <t>Анна</t>
        </is>
      </c>
      <c r="C7" s="8" t="n">
        <v>0.65625</v>
      </c>
      <c r="D7" s="8" t="n">
        <v>0.96875</v>
      </c>
      <c r="E7" s="9" t="n">
        <v>47997</v>
      </c>
      <c r="F7" s="10">
        <f>IF(D7&lt;C7, (D7+1-C7)*24, (D7-C7)*24)</f>
        <v/>
      </c>
      <c r="G7" s="11">
        <f>IF(A7=DATE(2025,12,31),2,1)</f>
        <v/>
      </c>
      <c r="H7" s="3">
        <f>VLOOKUP(B7,Ставки!$A$2:$C$100,2,FALSE)</f>
        <v/>
      </c>
      <c r="I7" s="4">
        <f>VLOOKUP(B7,Ставки!$A$2:$C$100,3,FALSE)</f>
        <v/>
      </c>
      <c r="J7" s="12">
        <f>F7*H7*G7</f>
        <v/>
      </c>
      <c r="K7" s="12">
        <f>E7*I7</f>
        <v/>
      </c>
      <c r="L7" s="3">
        <f>LOOKUP(E7,Бонусы!$A$7:$A$11,Бонусы!$B$7:$B$11)</f>
        <v/>
      </c>
      <c r="M7" s="12">
        <f>J7+K7+L7</f>
        <v/>
      </c>
    </row>
    <row r="8">
      <c r="A8" s="7" t="n">
        <v>45994</v>
      </c>
      <c r="B8" s="5" t="inlineStr">
        <is>
          <t>Мария</t>
        </is>
      </c>
      <c r="C8" s="8" t="n">
        <v>0.2916666666666667</v>
      </c>
      <c r="D8" s="8" t="n">
        <v>0.6458333333333334</v>
      </c>
      <c r="E8" s="9" t="n">
        <v>21809</v>
      </c>
      <c r="F8" s="10">
        <f>IF(D8&lt;C8, (D8+1-C8)*24, (D8-C8)*24)</f>
        <v/>
      </c>
      <c r="G8" s="11">
        <f>IF(A8=DATE(2025,12,31),2,1)</f>
        <v/>
      </c>
      <c r="H8" s="3">
        <f>VLOOKUP(B8,Ставки!$A$2:$C$100,2,FALSE)</f>
        <v/>
      </c>
      <c r="I8" s="4">
        <f>VLOOKUP(B8,Ставки!$A$2:$C$100,3,FALSE)</f>
        <v/>
      </c>
      <c r="J8" s="12">
        <f>F8*H8*G8</f>
        <v/>
      </c>
      <c r="K8" s="12">
        <f>E8*I8</f>
        <v/>
      </c>
      <c r="L8" s="3">
        <f>LOOKUP(E8,Бонусы!$A$7:$A$11,Бонусы!$B$7:$B$11)</f>
        <v/>
      </c>
      <c r="M8" s="12">
        <f>J8+K8+L8</f>
        <v/>
      </c>
    </row>
    <row r="9">
      <c r="A9" s="7" t="n">
        <v>45994</v>
      </c>
      <c r="B9" s="5" t="inlineStr">
        <is>
          <t>Сергей</t>
        </is>
      </c>
      <c r="C9" s="8" t="n">
        <v>0.4270833333333333</v>
      </c>
      <c r="D9" s="8" t="n">
        <v>0.7708333333333334</v>
      </c>
      <c r="E9" s="9" t="n">
        <v>23458</v>
      </c>
      <c r="F9" s="10">
        <f>IF(D9&lt;C9, (D9+1-C9)*24, (D9-C9)*24)</f>
        <v/>
      </c>
      <c r="G9" s="11">
        <f>IF(A9=DATE(2025,12,31),2,1)</f>
        <v/>
      </c>
      <c r="H9" s="3">
        <f>VLOOKUP(B9,Ставки!$A$2:$C$100,2,FALSE)</f>
        <v/>
      </c>
      <c r="I9" s="4">
        <f>VLOOKUP(B9,Ставки!$A$2:$C$100,3,FALSE)</f>
        <v/>
      </c>
      <c r="J9" s="12">
        <f>F9*H9*G9</f>
        <v/>
      </c>
      <c r="K9" s="12">
        <f>E9*I9</f>
        <v/>
      </c>
      <c r="L9" s="3">
        <f>LOOKUP(E9,Бонусы!$A$7:$A$11,Бонусы!$B$7:$B$11)</f>
        <v/>
      </c>
      <c r="M9" s="12">
        <f>J9+K9+L9</f>
        <v/>
      </c>
    </row>
    <row r="10">
      <c r="A10" s="7" t="n">
        <v>45994</v>
      </c>
      <c r="B10" s="5" t="inlineStr">
        <is>
          <t>Ольга</t>
        </is>
      </c>
      <c r="C10" s="8" t="n">
        <v>0.65625</v>
      </c>
      <c r="D10" s="8" t="n">
        <v>0.9583333333333334</v>
      </c>
      <c r="E10" s="9" t="n">
        <v>46034</v>
      </c>
      <c r="F10" s="10">
        <f>IF(D10&lt;C10, (D10+1-C10)*24, (D10-C10)*24)</f>
        <v/>
      </c>
      <c r="G10" s="11">
        <f>IF(A10=DATE(2025,12,31),2,1)</f>
        <v/>
      </c>
      <c r="H10" s="3">
        <f>VLOOKUP(B10,Ставки!$A$2:$C$100,2,FALSE)</f>
        <v/>
      </c>
      <c r="I10" s="4">
        <f>VLOOKUP(B10,Ставки!$A$2:$C$100,3,FALSE)</f>
        <v/>
      </c>
      <c r="J10" s="12">
        <f>F10*H10*G10</f>
        <v/>
      </c>
      <c r="K10" s="12">
        <f>E10*I10</f>
        <v/>
      </c>
      <c r="L10" s="3">
        <f>LOOKUP(E10,Бонусы!$A$7:$A$11,Бонусы!$B$7:$B$11)</f>
        <v/>
      </c>
      <c r="M10" s="12">
        <f>J10+K10+L10</f>
        <v/>
      </c>
    </row>
    <row r="11">
      <c r="A11" s="7" t="n">
        <v>45995</v>
      </c>
      <c r="B11" s="5" t="inlineStr">
        <is>
          <t>Илья</t>
        </is>
      </c>
      <c r="C11" s="8" t="n">
        <v>0.3125</v>
      </c>
      <c r="D11" s="8" t="n">
        <v>0.625</v>
      </c>
      <c r="E11" s="9" t="n">
        <v>26829</v>
      </c>
      <c r="F11" s="10">
        <f>IF(D11&lt;C11, (D11+1-C11)*24, (D11-C11)*24)</f>
        <v/>
      </c>
      <c r="G11" s="11">
        <f>IF(A11=DATE(2025,12,31),2,1)</f>
        <v/>
      </c>
      <c r="H11" s="3">
        <f>VLOOKUP(B11,Ставки!$A$2:$C$100,2,FALSE)</f>
        <v/>
      </c>
      <c r="I11" s="4">
        <f>VLOOKUP(B11,Ставки!$A$2:$C$100,3,FALSE)</f>
        <v/>
      </c>
      <c r="J11" s="12">
        <f>F11*H11*G11</f>
        <v/>
      </c>
      <c r="K11" s="12">
        <f>E11*I11</f>
        <v/>
      </c>
      <c r="L11" s="3">
        <f>LOOKUP(E11,Бонусы!$A$7:$A$11,Бонусы!$B$7:$B$11)</f>
        <v/>
      </c>
      <c r="M11" s="12">
        <f>J11+K11+L11</f>
        <v/>
      </c>
    </row>
    <row r="12">
      <c r="A12" s="7" t="n">
        <v>45995</v>
      </c>
      <c r="B12" s="5" t="inlineStr">
        <is>
          <t>Мария</t>
        </is>
      </c>
      <c r="C12" s="8" t="n">
        <v>0.4270833333333333</v>
      </c>
      <c r="D12" s="8" t="n">
        <v>0.75</v>
      </c>
      <c r="E12" s="9" t="n">
        <v>32304</v>
      </c>
      <c r="F12" s="10">
        <f>IF(D12&lt;C12, (D12+1-C12)*24, (D12-C12)*24)</f>
        <v/>
      </c>
      <c r="G12" s="11">
        <f>IF(A12=DATE(2025,12,31),2,1)</f>
        <v/>
      </c>
      <c r="H12" s="3">
        <f>VLOOKUP(B12,Ставки!$A$2:$C$100,2,FALSE)</f>
        <v/>
      </c>
      <c r="I12" s="4">
        <f>VLOOKUP(B12,Ставки!$A$2:$C$100,3,FALSE)</f>
        <v/>
      </c>
      <c r="J12" s="12">
        <f>F12*H12*G12</f>
        <v/>
      </c>
      <c r="K12" s="12">
        <f>E12*I12</f>
        <v/>
      </c>
      <c r="L12" s="3">
        <f>LOOKUP(E12,Бонусы!$A$7:$A$11,Бонусы!$B$7:$B$11)</f>
        <v/>
      </c>
      <c r="M12" s="12">
        <f>J12+K12+L12</f>
        <v/>
      </c>
    </row>
    <row r="13">
      <c r="A13" s="7" t="n">
        <v>45995</v>
      </c>
      <c r="B13" s="5" t="inlineStr">
        <is>
          <t>Сергей</t>
        </is>
      </c>
      <c r="C13" s="8" t="n">
        <v>0.6458333333333334</v>
      </c>
      <c r="D13" s="8" t="n">
        <v>0.9791666666666666</v>
      </c>
      <c r="E13" s="9" t="n">
        <v>43079</v>
      </c>
      <c r="F13" s="10">
        <f>IF(D13&lt;C13, (D13+1-C13)*24, (D13-C13)*24)</f>
        <v/>
      </c>
      <c r="G13" s="11">
        <f>IF(A13=DATE(2025,12,31),2,1)</f>
        <v/>
      </c>
      <c r="H13" s="3">
        <f>VLOOKUP(B13,Ставки!$A$2:$C$100,2,FALSE)</f>
        <v/>
      </c>
      <c r="I13" s="4">
        <f>VLOOKUP(B13,Ставки!$A$2:$C$100,3,FALSE)</f>
        <v/>
      </c>
      <c r="J13" s="12">
        <f>F13*H13*G13</f>
        <v/>
      </c>
      <c r="K13" s="12">
        <f>E13*I13</f>
        <v/>
      </c>
      <c r="L13" s="3">
        <f>LOOKUP(E13,Бонусы!$A$7:$A$11,Бонусы!$B$7:$B$11)</f>
        <v/>
      </c>
      <c r="M13" s="12">
        <f>J13+K13+L13</f>
        <v/>
      </c>
    </row>
    <row r="14">
      <c r="A14" s="7" t="n">
        <v>45996</v>
      </c>
      <c r="B14" s="5" t="inlineStr">
        <is>
          <t>Ольга</t>
        </is>
      </c>
      <c r="C14" s="8" t="n">
        <v>0.2916666666666667</v>
      </c>
      <c r="D14" s="8" t="n">
        <v>0.6458333333333334</v>
      </c>
      <c r="E14" s="9" t="n">
        <v>23226</v>
      </c>
      <c r="F14" s="10">
        <f>IF(D14&lt;C14, (D14+1-C14)*24, (D14-C14)*24)</f>
        <v/>
      </c>
      <c r="G14" s="11">
        <f>IF(A14=DATE(2025,12,31),2,1)</f>
        <v/>
      </c>
      <c r="H14" s="3">
        <f>VLOOKUP(B14,Ставки!$A$2:$C$100,2,FALSE)</f>
        <v/>
      </c>
      <c r="I14" s="4">
        <f>VLOOKUP(B14,Ставки!$A$2:$C$100,3,FALSE)</f>
        <v/>
      </c>
      <c r="J14" s="12">
        <f>F14*H14*G14</f>
        <v/>
      </c>
      <c r="K14" s="12">
        <f>E14*I14</f>
        <v/>
      </c>
      <c r="L14" s="3">
        <f>LOOKUP(E14,Бонусы!$A$7:$A$11,Бонусы!$B$7:$B$11)</f>
        <v/>
      </c>
      <c r="M14" s="12">
        <f>J14+K14+L14</f>
        <v/>
      </c>
    </row>
    <row r="15">
      <c r="A15" s="7" t="n">
        <v>45996</v>
      </c>
      <c r="B15" s="5" t="inlineStr">
        <is>
          <t>Анна</t>
        </is>
      </c>
      <c r="C15" s="8" t="n">
        <v>0.4479166666666667</v>
      </c>
      <c r="D15" s="8" t="n">
        <v>0.75</v>
      </c>
      <c r="E15" s="9" t="n">
        <v>33079</v>
      </c>
      <c r="F15" s="10">
        <f>IF(D15&lt;C15, (D15+1-C15)*24, (D15-C15)*24)</f>
        <v/>
      </c>
      <c r="G15" s="11">
        <f>IF(A15=DATE(2025,12,31),2,1)</f>
        <v/>
      </c>
      <c r="H15" s="3">
        <f>VLOOKUP(B15,Ставки!$A$2:$C$100,2,FALSE)</f>
        <v/>
      </c>
      <c r="I15" s="4">
        <f>VLOOKUP(B15,Ставки!$A$2:$C$100,3,FALSE)</f>
        <v/>
      </c>
      <c r="J15" s="12">
        <f>F15*H15*G15</f>
        <v/>
      </c>
      <c r="K15" s="12">
        <f>E15*I15</f>
        <v/>
      </c>
      <c r="L15" s="3">
        <f>LOOKUP(E15,Бонусы!$A$7:$A$11,Бонусы!$B$7:$B$11)</f>
        <v/>
      </c>
      <c r="M15" s="12">
        <f>J15+K15+L15</f>
        <v/>
      </c>
    </row>
    <row r="16">
      <c r="A16" s="7" t="n">
        <v>45996</v>
      </c>
      <c r="B16" s="5" t="inlineStr">
        <is>
          <t>Илья</t>
        </is>
      </c>
      <c r="C16" s="8" t="n">
        <v>0.4583333333333333</v>
      </c>
      <c r="D16" s="8" t="n">
        <v>0.84375</v>
      </c>
      <c r="E16" s="9" t="n">
        <v>45249</v>
      </c>
      <c r="F16" s="10">
        <f>IF(D16&lt;C16, (D16+1-C16)*24, (D16-C16)*24)</f>
        <v/>
      </c>
      <c r="G16" s="11">
        <f>IF(A16=DATE(2025,12,31),2,1)</f>
        <v/>
      </c>
      <c r="H16" s="3">
        <f>VLOOKUP(B16,Ставки!$A$2:$C$100,2,FALSE)</f>
        <v/>
      </c>
      <c r="I16" s="4">
        <f>VLOOKUP(B16,Ставки!$A$2:$C$100,3,FALSE)</f>
        <v/>
      </c>
      <c r="J16" s="12">
        <f>F16*H16*G16</f>
        <v/>
      </c>
      <c r="K16" s="12">
        <f>E16*I16</f>
        <v/>
      </c>
      <c r="L16" s="3">
        <f>LOOKUP(E16,Бонусы!$A$7:$A$11,Бонусы!$B$7:$B$11)</f>
        <v/>
      </c>
      <c r="M16" s="12">
        <f>J16+K16+L16</f>
        <v/>
      </c>
    </row>
    <row r="17">
      <c r="A17" s="7" t="n">
        <v>45996</v>
      </c>
      <c r="B17" s="5" t="inlineStr">
        <is>
          <t>Анна</t>
        </is>
      </c>
      <c r="C17" s="8" t="n">
        <v>0.6354166666666666</v>
      </c>
      <c r="D17" s="8" t="n">
        <v>0.96875</v>
      </c>
      <c r="E17" s="9" t="n">
        <v>46812</v>
      </c>
      <c r="F17" s="10">
        <f>IF(D17&lt;C17, (D17+1-C17)*24, (D17-C17)*24)</f>
        <v/>
      </c>
      <c r="G17" s="11">
        <f>IF(A17=DATE(2025,12,31),2,1)</f>
        <v/>
      </c>
      <c r="H17" s="3">
        <f>VLOOKUP(B17,Ставки!$A$2:$C$100,2,FALSE)</f>
        <v/>
      </c>
      <c r="I17" s="4">
        <f>VLOOKUP(B17,Ставки!$A$2:$C$100,3,FALSE)</f>
        <v/>
      </c>
      <c r="J17" s="12">
        <f>F17*H17*G17</f>
        <v/>
      </c>
      <c r="K17" s="12">
        <f>E17*I17</f>
        <v/>
      </c>
      <c r="L17" s="3">
        <f>LOOKUP(E17,Бонусы!$A$7:$A$11,Бонусы!$B$7:$B$11)</f>
        <v/>
      </c>
      <c r="M17" s="12">
        <f>J17+K17+L17</f>
        <v/>
      </c>
    </row>
    <row r="18">
      <c r="A18" s="7" t="n">
        <v>45997</v>
      </c>
      <c r="B18" s="5" t="inlineStr">
        <is>
          <t>Мария</t>
        </is>
      </c>
      <c r="C18" s="8" t="n">
        <v>0.3125</v>
      </c>
      <c r="D18" s="8" t="n">
        <v>0.6458333333333334</v>
      </c>
      <c r="E18" s="9" t="n">
        <v>24137</v>
      </c>
      <c r="F18" s="10">
        <f>IF(D18&lt;C18, (D18+1-C18)*24, (D18-C18)*24)</f>
        <v/>
      </c>
      <c r="G18" s="11">
        <f>IF(A18=DATE(2025,12,31),2,1)</f>
        <v/>
      </c>
      <c r="H18" s="3">
        <f>VLOOKUP(B18,Ставки!$A$2:$C$100,2,FALSE)</f>
        <v/>
      </c>
      <c r="I18" s="4">
        <f>VLOOKUP(B18,Ставки!$A$2:$C$100,3,FALSE)</f>
        <v/>
      </c>
      <c r="J18" s="12">
        <f>F18*H18*G18</f>
        <v/>
      </c>
      <c r="K18" s="12">
        <f>E18*I18</f>
        <v/>
      </c>
      <c r="L18" s="3">
        <f>LOOKUP(E18,Бонусы!$A$7:$A$11,Бонусы!$B$7:$B$11)</f>
        <v/>
      </c>
      <c r="M18" s="12">
        <f>J18+K18+L18</f>
        <v/>
      </c>
    </row>
    <row r="19">
      <c r="A19" s="7" t="n">
        <v>45997</v>
      </c>
      <c r="B19" s="5" t="inlineStr">
        <is>
          <t>Илья</t>
        </is>
      </c>
      <c r="C19" s="8" t="n">
        <v>0.4479166666666667</v>
      </c>
      <c r="D19" s="8" t="n">
        <v>0.75</v>
      </c>
      <c r="E19" s="9" t="n">
        <v>27477</v>
      </c>
      <c r="F19" s="10">
        <f>IF(D19&lt;C19, (D19+1-C19)*24, (D19-C19)*24)</f>
        <v/>
      </c>
      <c r="G19" s="11">
        <f>IF(A19=DATE(2025,12,31),2,1)</f>
        <v/>
      </c>
      <c r="H19" s="3">
        <f>VLOOKUP(B19,Ставки!$A$2:$C$100,2,FALSE)</f>
        <v/>
      </c>
      <c r="I19" s="4">
        <f>VLOOKUP(B19,Ставки!$A$2:$C$100,3,FALSE)</f>
        <v/>
      </c>
      <c r="J19" s="12">
        <f>F19*H19*G19</f>
        <v/>
      </c>
      <c r="K19" s="12">
        <f>E19*I19</f>
        <v/>
      </c>
      <c r="L19" s="3">
        <f>LOOKUP(E19,Бонусы!$A$7:$A$11,Бонусы!$B$7:$B$11)</f>
        <v/>
      </c>
      <c r="M19" s="12">
        <f>J19+K19+L19</f>
        <v/>
      </c>
    </row>
    <row r="20">
      <c r="A20" s="7" t="n">
        <v>45997</v>
      </c>
      <c r="B20" s="5" t="inlineStr">
        <is>
          <t>Сергей</t>
        </is>
      </c>
      <c r="C20" s="8" t="n">
        <v>0.4791666666666667</v>
      </c>
      <c r="D20" s="8" t="n">
        <v>0.8541666666666666</v>
      </c>
      <c r="E20" s="9" t="n">
        <v>49666</v>
      </c>
      <c r="F20" s="10">
        <f>IF(D20&lt;C20, (D20+1-C20)*24, (D20-C20)*24)</f>
        <v/>
      </c>
      <c r="G20" s="11">
        <f>IF(A20=DATE(2025,12,31),2,1)</f>
        <v/>
      </c>
      <c r="H20" s="3">
        <f>VLOOKUP(B20,Ставки!$A$2:$C$100,2,FALSE)</f>
        <v/>
      </c>
      <c r="I20" s="4">
        <f>VLOOKUP(B20,Ставки!$A$2:$C$100,3,FALSE)</f>
        <v/>
      </c>
      <c r="J20" s="12">
        <f>F20*H20*G20</f>
        <v/>
      </c>
      <c r="K20" s="12">
        <f>E20*I20</f>
        <v/>
      </c>
      <c r="L20" s="3">
        <f>LOOKUP(E20,Бонусы!$A$7:$A$11,Бонусы!$B$7:$B$11)</f>
        <v/>
      </c>
      <c r="M20" s="12">
        <f>J20+K20+L20</f>
        <v/>
      </c>
    </row>
    <row r="21">
      <c r="A21" s="7" t="n">
        <v>45997</v>
      </c>
      <c r="B21" s="5" t="inlineStr">
        <is>
          <t>Ольга</t>
        </is>
      </c>
      <c r="C21" s="8" t="n">
        <v>0.6354166666666666</v>
      </c>
      <c r="D21" s="8" t="n">
        <v>0.9791666666666666</v>
      </c>
      <c r="E21" s="9" t="n">
        <v>58275</v>
      </c>
      <c r="F21" s="10">
        <f>IF(D21&lt;C21, (D21+1-C21)*24, (D21-C21)*24)</f>
        <v/>
      </c>
      <c r="G21" s="11">
        <f>IF(A21=DATE(2025,12,31),2,1)</f>
        <v/>
      </c>
      <c r="H21" s="3">
        <f>VLOOKUP(B21,Ставки!$A$2:$C$100,2,FALSE)</f>
        <v/>
      </c>
      <c r="I21" s="4">
        <f>VLOOKUP(B21,Ставки!$A$2:$C$100,3,FALSE)</f>
        <v/>
      </c>
      <c r="J21" s="12">
        <f>F21*H21*G21</f>
        <v/>
      </c>
      <c r="K21" s="12">
        <f>E21*I21</f>
        <v/>
      </c>
      <c r="L21" s="3">
        <f>LOOKUP(E21,Бонусы!$A$7:$A$11,Бонусы!$B$7:$B$11)</f>
        <v/>
      </c>
      <c r="M21" s="12">
        <f>J21+K21+L21</f>
        <v/>
      </c>
    </row>
    <row r="22">
      <c r="A22" s="7" t="n">
        <v>45998</v>
      </c>
      <c r="B22" s="5" t="inlineStr">
        <is>
          <t>Анна</t>
        </is>
      </c>
      <c r="C22" s="8" t="n">
        <v>0.3229166666666667</v>
      </c>
      <c r="D22" s="8" t="n">
        <v>0.6354166666666666</v>
      </c>
      <c r="E22" s="9" t="n">
        <v>29906</v>
      </c>
      <c r="F22" s="10">
        <f>IF(D22&lt;C22, (D22+1-C22)*24, (D22-C22)*24)</f>
        <v/>
      </c>
      <c r="G22" s="11">
        <f>IF(A22=DATE(2025,12,31),2,1)</f>
        <v/>
      </c>
      <c r="H22" s="3">
        <f>VLOOKUP(B22,Ставки!$A$2:$C$100,2,FALSE)</f>
        <v/>
      </c>
      <c r="I22" s="4">
        <f>VLOOKUP(B22,Ставки!$A$2:$C$100,3,FALSE)</f>
        <v/>
      </c>
      <c r="J22" s="12">
        <f>F22*H22*G22</f>
        <v/>
      </c>
      <c r="K22" s="12">
        <f>E22*I22</f>
        <v/>
      </c>
      <c r="L22" s="3">
        <f>LOOKUP(E22,Бонусы!$A$7:$A$11,Бонусы!$B$7:$B$11)</f>
        <v/>
      </c>
      <c r="M22" s="12">
        <f>J22+K22+L22</f>
        <v/>
      </c>
    </row>
    <row r="23">
      <c r="A23" s="7" t="n">
        <v>45998</v>
      </c>
      <c r="B23" s="5" t="inlineStr">
        <is>
          <t>Ольга</t>
        </is>
      </c>
      <c r="C23" s="8" t="n">
        <v>0.4375</v>
      </c>
      <c r="D23" s="8" t="n">
        <v>0.75</v>
      </c>
      <c r="E23" s="9" t="n">
        <v>39160</v>
      </c>
      <c r="F23" s="10">
        <f>IF(D23&lt;C23, (D23+1-C23)*24, (D23-C23)*24)</f>
        <v/>
      </c>
      <c r="G23" s="11">
        <f>IF(A23=DATE(2025,12,31),2,1)</f>
        <v/>
      </c>
      <c r="H23" s="3">
        <f>VLOOKUP(B23,Ставки!$A$2:$C$100,2,FALSE)</f>
        <v/>
      </c>
      <c r="I23" s="4">
        <f>VLOOKUP(B23,Ставки!$A$2:$C$100,3,FALSE)</f>
        <v/>
      </c>
      <c r="J23" s="12">
        <f>F23*H23*G23</f>
        <v/>
      </c>
      <c r="K23" s="12">
        <f>E23*I23</f>
        <v/>
      </c>
      <c r="L23" s="3">
        <f>LOOKUP(E23,Бонусы!$A$7:$A$11,Бонусы!$B$7:$B$11)</f>
        <v/>
      </c>
      <c r="M23" s="12">
        <f>J23+K23+L23</f>
        <v/>
      </c>
    </row>
    <row r="24">
      <c r="A24" s="7" t="n">
        <v>45998</v>
      </c>
      <c r="B24" s="5" t="inlineStr">
        <is>
          <t>Сергей</t>
        </is>
      </c>
      <c r="C24" s="8" t="n">
        <v>0.65625</v>
      </c>
      <c r="D24" s="8" t="n">
        <v>0.9791666666666666</v>
      </c>
      <c r="E24" s="9" t="n">
        <v>33501</v>
      </c>
      <c r="F24" s="10">
        <f>IF(D24&lt;C24, (D24+1-C24)*24, (D24-C24)*24)</f>
        <v/>
      </c>
      <c r="G24" s="11">
        <f>IF(A24=DATE(2025,12,31),2,1)</f>
        <v/>
      </c>
      <c r="H24" s="3">
        <f>VLOOKUP(B24,Ставки!$A$2:$C$100,2,FALSE)</f>
        <v/>
      </c>
      <c r="I24" s="4">
        <f>VLOOKUP(B24,Ставки!$A$2:$C$100,3,FALSE)</f>
        <v/>
      </c>
      <c r="J24" s="12">
        <f>F24*H24*G24</f>
        <v/>
      </c>
      <c r="K24" s="12">
        <f>E24*I24</f>
        <v/>
      </c>
      <c r="L24" s="3">
        <f>LOOKUP(E24,Бонусы!$A$7:$A$11,Бонусы!$B$7:$B$11)</f>
        <v/>
      </c>
      <c r="M24" s="12">
        <f>J24+K24+L24</f>
        <v/>
      </c>
    </row>
    <row r="25">
      <c r="A25" s="7" t="n">
        <v>45999</v>
      </c>
      <c r="B25" s="5" t="inlineStr">
        <is>
          <t>Илья</t>
        </is>
      </c>
      <c r="C25" s="8" t="n">
        <v>0.3229166666666667</v>
      </c>
      <c r="D25" s="8" t="n">
        <v>0.625</v>
      </c>
      <c r="E25" s="9" t="n">
        <v>16926</v>
      </c>
      <c r="F25" s="10">
        <f>IF(D25&lt;C25, (D25+1-C25)*24, (D25-C25)*24)</f>
        <v/>
      </c>
      <c r="G25" s="11">
        <f>IF(A25=DATE(2025,12,31),2,1)</f>
        <v/>
      </c>
      <c r="H25" s="3">
        <f>VLOOKUP(B25,Ставки!$A$2:$C$100,2,FALSE)</f>
        <v/>
      </c>
      <c r="I25" s="4">
        <f>VLOOKUP(B25,Ставки!$A$2:$C$100,3,FALSE)</f>
        <v/>
      </c>
      <c r="J25" s="12">
        <f>F25*H25*G25</f>
        <v/>
      </c>
      <c r="K25" s="12">
        <f>E25*I25</f>
        <v/>
      </c>
      <c r="L25" s="3">
        <f>LOOKUP(E25,Бонусы!$A$7:$A$11,Бонусы!$B$7:$B$11)</f>
        <v/>
      </c>
      <c r="M25" s="12">
        <f>J25+K25+L25</f>
        <v/>
      </c>
    </row>
    <row r="26">
      <c r="A26" s="7" t="n">
        <v>45999</v>
      </c>
      <c r="B26" s="5" t="inlineStr">
        <is>
          <t>Мария</t>
        </is>
      </c>
      <c r="C26" s="8" t="n">
        <v>0.4375</v>
      </c>
      <c r="D26" s="8" t="n">
        <v>0.7708333333333334</v>
      </c>
      <c r="E26" s="9" t="n">
        <v>34739</v>
      </c>
      <c r="F26" s="10">
        <f>IF(D26&lt;C26, (D26+1-C26)*24, (D26-C26)*24)</f>
        <v/>
      </c>
      <c r="G26" s="11">
        <f>IF(A26=DATE(2025,12,31),2,1)</f>
        <v/>
      </c>
      <c r="H26" s="3">
        <f>VLOOKUP(B26,Ставки!$A$2:$C$100,2,FALSE)</f>
        <v/>
      </c>
      <c r="I26" s="4">
        <f>VLOOKUP(B26,Ставки!$A$2:$C$100,3,FALSE)</f>
        <v/>
      </c>
      <c r="J26" s="12">
        <f>F26*H26*G26</f>
        <v/>
      </c>
      <c r="K26" s="12">
        <f>E26*I26</f>
        <v/>
      </c>
      <c r="L26" s="3">
        <f>LOOKUP(E26,Бонусы!$A$7:$A$11,Бонусы!$B$7:$B$11)</f>
        <v/>
      </c>
      <c r="M26" s="12">
        <f>J26+K26+L26</f>
        <v/>
      </c>
    </row>
    <row r="27">
      <c r="A27" s="7" t="n">
        <v>45999</v>
      </c>
      <c r="B27" s="5" t="inlineStr">
        <is>
          <t>Илья</t>
        </is>
      </c>
      <c r="C27" s="8" t="n">
        <v>0.6458333333333334</v>
      </c>
      <c r="D27" s="8" t="n">
        <v>0.96875</v>
      </c>
      <c r="E27" s="9" t="n">
        <v>51539</v>
      </c>
      <c r="F27" s="10">
        <f>IF(D27&lt;C27, (D27+1-C27)*24, (D27-C27)*24)</f>
        <v/>
      </c>
      <c r="G27" s="11">
        <f>IF(A27=DATE(2025,12,31),2,1)</f>
        <v/>
      </c>
      <c r="H27" s="3">
        <f>VLOOKUP(B27,Ставки!$A$2:$C$100,2,FALSE)</f>
        <v/>
      </c>
      <c r="I27" s="4">
        <f>VLOOKUP(B27,Ставки!$A$2:$C$100,3,FALSE)</f>
        <v/>
      </c>
      <c r="J27" s="12">
        <f>F27*H27*G27</f>
        <v/>
      </c>
      <c r="K27" s="12">
        <f>E27*I27</f>
        <v/>
      </c>
      <c r="L27" s="3">
        <f>LOOKUP(E27,Бонусы!$A$7:$A$11,Бонусы!$B$7:$B$11)</f>
        <v/>
      </c>
      <c r="M27" s="12">
        <f>J27+K27+L27</f>
        <v/>
      </c>
    </row>
    <row r="28">
      <c r="A28" s="7" t="n">
        <v>46000</v>
      </c>
      <c r="B28" s="5" t="inlineStr">
        <is>
          <t>Ольга</t>
        </is>
      </c>
      <c r="C28" s="8" t="n">
        <v>0.2916666666666667</v>
      </c>
      <c r="D28" s="8" t="n">
        <v>0.6354166666666666</v>
      </c>
      <c r="E28" s="9" t="n">
        <v>25671</v>
      </c>
      <c r="F28" s="10">
        <f>IF(D28&lt;C28, (D28+1-C28)*24, (D28-C28)*24)</f>
        <v/>
      </c>
      <c r="G28" s="11">
        <f>IF(A28=DATE(2025,12,31),2,1)</f>
        <v/>
      </c>
      <c r="H28" s="3">
        <f>VLOOKUP(B28,Ставки!$A$2:$C$100,2,FALSE)</f>
        <v/>
      </c>
      <c r="I28" s="4">
        <f>VLOOKUP(B28,Ставки!$A$2:$C$100,3,FALSE)</f>
        <v/>
      </c>
      <c r="J28" s="12">
        <f>F28*H28*G28</f>
        <v/>
      </c>
      <c r="K28" s="12">
        <f>E28*I28</f>
        <v/>
      </c>
      <c r="L28" s="3">
        <f>LOOKUP(E28,Бонусы!$A$7:$A$11,Бонусы!$B$7:$B$11)</f>
        <v/>
      </c>
      <c r="M28" s="12">
        <f>J28+K28+L28</f>
        <v/>
      </c>
    </row>
    <row r="29">
      <c r="A29" s="7" t="n">
        <v>46000</v>
      </c>
      <c r="B29" s="5" t="inlineStr">
        <is>
          <t>Сергей</t>
        </is>
      </c>
      <c r="C29" s="8" t="n">
        <v>0.4375</v>
      </c>
      <c r="D29" s="8" t="n">
        <v>0.7708333333333334</v>
      </c>
      <c r="E29" s="9" t="n">
        <v>35471</v>
      </c>
      <c r="F29" s="10">
        <f>IF(D29&lt;C29, (D29+1-C29)*24, (D29-C29)*24)</f>
        <v/>
      </c>
      <c r="G29" s="11">
        <f>IF(A29=DATE(2025,12,31),2,1)</f>
        <v/>
      </c>
      <c r="H29" s="3">
        <f>VLOOKUP(B29,Ставки!$A$2:$C$100,2,FALSE)</f>
        <v/>
      </c>
      <c r="I29" s="4">
        <f>VLOOKUP(B29,Ставки!$A$2:$C$100,3,FALSE)</f>
        <v/>
      </c>
      <c r="J29" s="12">
        <f>F29*H29*G29</f>
        <v/>
      </c>
      <c r="K29" s="12">
        <f>E29*I29</f>
        <v/>
      </c>
      <c r="L29" s="3">
        <f>LOOKUP(E29,Бонусы!$A$7:$A$11,Бонусы!$B$7:$B$11)</f>
        <v/>
      </c>
      <c r="M29" s="12">
        <f>J29+K29+L29</f>
        <v/>
      </c>
    </row>
    <row r="30">
      <c r="A30" s="7" t="n">
        <v>46000</v>
      </c>
      <c r="B30" s="5" t="inlineStr">
        <is>
          <t>Анна</t>
        </is>
      </c>
      <c r="C30" s="8" t="n">
        <v>0.6354166666666666</v>
      </c>
      <c r="D30" s="8" t="n">
        <v>0.9583333333333334</v>
      </c>
      <c r="E30" s="9" t="n">
        <v>53267</v>
      </c>
      <c r="F30" s="10">
        <f>IF(D30&lt;C30, (D30+1-C30)*24, (D30-C30)*24)</f>
        <v/>
      </c>
      <c r="G30" s="11">
        <f>IF(A30=DATE(2025,12,31),2,1)</f>
        <v/>
      </c>
      <c r="H30" s="3">
        <f>VLOOKUP(B30,Ставки!$A$2:$C$100,2,FALSE)</f>
        <v/>
      </c>
      <c r="I30" s="4">
        <f>VLOOKUP(B30,Ставки!$A$2:$C$100,3,FALSE)</f>
        <v/>
      </c>
      <c r="J30" s="12">
        <f>F30*H30*G30</f>
        <v/>
      </c>
      <c r="K30" s="12">
        <f>E30*I30</f>
        <v/>
      </c>
      <c r="L30" s="3">
        <f>LOOKUP(E30,Бонусы!$A$7:$A$11,Бонусы!$B$7:$B$11)</f>
        <v/>
      </c>
      <c r="M30" s="12">
        <f>J30+K30+L30</f>
        <v/>
      </c>
    </row>
    <row r="31">
      <c r="A31" s="7" t="n">
        <v>46001</v>
      </c>
      <c r="B31" s="5" t="inlineStr">
        <is>
          <t>Мария</t>
        </is>
      </c>
      <c r="C31" s="8" t="n">
        <v>0.3125</v>
      </c>
      <c r="D31" s="8" t="n">
        <v>0.6458333333333334</v>
      </c>
      <c r="E31" s="9" t="n">
        <v>34179</v>
      </c>
      <c r="F31" s="10">
        <f>IF(D31&lt;C31, (D31+1-C31)*24, (D31-C31)*24)</f>
        <v/>
      </c>
      <c r="G31" s="11">
        <f>IF(A31=DATE(2025,12,31),2,1)</f>
        <v/>
      </c>
      <c r="H31" s="3">
        <f>VLOOKUP(B31,Ставки!$A$2:$C$100,2,FALSE)</f>
        <v/>
      </c>
      <c r="I31" s="4">
        <f>VLOOKUP(B31,Ставки!$A$2:$C$100,3,FALSE)</f>
        <v/>
      </c>
      <c r="J31" s="12">
        <f>F31*H31*G31</f>
        <v/>
      </c>
      <c r="K31" s="12">
        <f>E31*I31</f>
        <v/>
      </c>
      <c r="L31" s="3">
        <f>LOOKUP(E31,Бонусы!$A$7:$A$11,Бонусы!$B$7:$B$11)</f>
        <v/>
      </c>
      <c r="M31" s="12">
        <f>J31+K31+L31</f>
        <v/>
      </c>
    </row>
    <row r="32">
      <c r="A32" s="7" t="n">
        <v>46001</v>
      </c>
      <c r="B32" s="5" t="inlineStr">
        <is>
          <t>Ольга</t>
        </is>
      </c>
      <c r="C32" s="8" t="n">
        <v>0.4375</v>
      </c>
      <c r="D32" s="8" t="n">
        <v>0.7604166666666666</v>
      </c>
      <c r="E32" s="9" t="n">
        <v>40773</v>
      </c>
      <c r="F32" s="10">
        <f>IF(D32&lt;C32, (D32+1-C32)*24, (D32-C32)*24)</f>
        <v/>
      </c>
      <c r="G32" s="11">
        <f>IF(A32=DATE(2025,12,31),2,1)</f>
        <v/>
      </c>
      <c r="H32" s="3">
        <f>VLOOKUP(B32,Ставки!$A$2:$C$100,2,FALSE)</f>
        <v/>
      </c>
      <c r="I32" s="4">
        <f>VLOOKUP(B32,Ставки!$A$2:$C$100,3,FALSE)</f>
        <v/>
      </c>
      <c r="J32" s="12">
        <f>F32*H32*G32</f>
        <v/>
      </c>
      <c r="K32" s="12">
        <f>E32*I32</f>
        <v/>
      </c>
      <c r="L32" s="3">
        <f>LOOKUP(E32,Бонусы!$A$7:$A$11,Бонусы!$B$7:$B$11)</f>
        <v/>
      </c>
      <c r="M32" s="12">
        <f>J32+K32+L32</f>
        <v/>
      </c>
    </row>
    <row r="33">
      <c r="A33" s="7" t="n">
        <v>46001</v>
      </c>
      <c r="B33" s="5" t="inlineStr">
        <is>
          <t>Анна</t>
        </is>
      </c>
      <c r="C33" s="8" t="n">
        <v>0.625</v>
      </c>
      <c r="D33" s="8" t="n">
        <v>0.96875</v>
      </c>
      <c r="E33" s="9" t="n">
        <v>44562</v>
      </c>
      <c r="F33" s="10">
        <f>IF(D33&lt;C33, (D33+1-C33)*24, (D33-C33)*24)</f>
        <v/>
      </c>
      <c r="G33" s="11">
        <f>IF(A33=DATE(2025,12,31),2,1)</f>
        <v/>
      </c>
      <c r="H33" s="3">
        <f>VLOOKUP(B33,Ставки!$A$2:$C$100,2,FALSE)</f>
        <v/>
      </c>
      <c r="I33" s="4">
        <f>VLOOKUP(B33,Ставки!$A$2:$C$100,3,FALSE)</f>
        <v/>
      </c>
      <c r="J33" s="12">
        <f>F33*H33*G33</f>
        <v/>
      </c>
      <c r="K33" s="12">
        <f>E33*I33</f>
        <v/>
      </c>
      <c r="L33" s="3">
        <f>LOOKUP(E33,Бонусы!$A$7:$A$11,Бонусы!$B$7:$B$11)</f>
        <v/>
      </c>
      <c r="M33" s="12">
        <f>J33+K33+L33</f>
        <v/>
      </c>
    </row>
    <row r="34">
      <c r="A34" s="7" t="n">
        <v>46002</v>
      </c>
      <c r="B34" s="5" t="inlineStr">
        <is>
          <t>Илья</t>
        </is>
      </c>
      <c r="C34" s="8" t="n">
        <v>0.3229166666666667</v>
      </c>
      <c r="D34" s="8" t="n">
        <v>0.6458333333333334</v>
      </c>
      <c r="E34" s="9" t="n">
        <v>29400</v>
      </c>
      <c r="F34" s="10">
        <f>IF(D34&lt;C34, (D34+1-C34)*24, (D34-C34)*24)</f>
        <v/>
      </c>
      <c r="G34" s="11">
        <f>IF(A34=DATE(2025,12,31),2,1)</f>
        <v/>
      </c>
      <c r="H34" s="3">
        <f>VLOOKUP(B34,Ставки!$A$2:$C$100,2,FALSE)</f>
        <v/>
      </c>
      <c r="I34" s="4">
        <f>VLOOKUP(B34,Ставки!$A$2:$C$100,3,FALSE)</f>
        <v/>
      </c>
      <c r="J34" s="12">
        <f>F34*H34*G34</f>
        <v/>
      </c>
      <c r="K34" s="12">
        <f>E34*I34</f>
        <v/>
      </c>
      <c r="L34" s="3">
        <f>LOOKUP(E34,Бонусы!$A$7:$A$11,Бонусы!$B$7:$B$11)</f>
        <v/>
      </c>
      <c r="M34" s="12">
        <f>J34+K34+L34</f>
        <v/>
      </c>
    </row>
    <row r="35">
      <c r="A35" s="7" t="n">
        <v>46002</v>
      </c>
      <c r="B35" s="5" t="inlineStr">
        <is>
          <t>Мария</t>
        </is>
      </c>
      <c r="C35" s="8" t="n">
        <v>0.4479166666666667</v>
      </c>
      <c r="D35" s="8" t="n">
        <v>0.75</v>
      </c>
      <c r="E35" s="9" t="n">
        <v>30212</v>
      </c>
      <c r="F35" s="10">
        <f>IF(D35&lt;C35, (D35+1-C35)*24, (D35-C35)*24)</f>
        <v/>
      </c>
      <c r="G35" s="11">
        <f>IF(A35=DATE(2025,12,31),2,1)</f>
        <v/>
      </c>
      <c r="H35" s="3">
        <f>VLOOKUP(B35,Ставки!$A$2:$C$100,2,FALSE)</f>
        <v/>
      </c>
      <c r="I35" s="4">
        <f>VLOOKUP(B35,Ставки!$A$2:$C$100,3,FALSE)</f>
        <v/>
      </c>
      <c r="J35" s="12">
        <f>F35*H35*G35</f>
        <v/>
      </c>
      <c r="K35" s="12">
        <f>E35*I35</f>
        <v/>
      </c>
      <c r="L35" s="3">
        <f>LOOKUP(E35,Бонусы!$A$7:$A$11,Бонусы!$B$7:$B$11)</f>
        <v/>
      </c>
      <c r="M35" s="12">
        <f>J35+K35+L35</f>
        <v/>
      </c>
    </row>
    <row r="36">
      <c r="A36" s="7" t="n">
        <v>46002</v>
      </c>
      <c r="B36" s="5" t="inlineStr">
        <is>
          <t>Сергей</t>
        </is>
      </c>
      <c r="C36" s="8" t="n">
        <v>0.6458333333333334</v>
      </c>
      <c r="D36" s="8" t="n">
        <v>0.9583333333333334</v>
      </c>
      <c r="E36" s="9" t="n">
        <v>31554</v>
      </c>
      <c r="F36" s="10">
        <f>IF(D36&lt;C36, (D36+1-C36)*24, (D36-C36)*24)</f>
        <v/>
      </c>
      <c r="G36" s="11">
        <f>IF(A36=DATE(2025,12,31),2,1)</f>
        <v/>
      </c>
      <c r="H36" s="3">
        <f>VLOOKUP(B36,Ставки!$A$2:$C$100,2,FALSE)</f>
        <v/>
      </c>
      <c r="I36" s="4">
        <f>VLOOKUP(B36,Ставки!$A$2:$C$100,3,FALSE)</f>
        <v/>
      </c>
      <c r="J36" s="12">
        <f>F36*H36*G36</f>
        <v/>
      </c>
      <c r="K36" s="12">
        <f>E36*I36</f>
        <v/>
      </c>
      <c r="L36" s="3">
        <f>LOOKUP(E36,Бонусы!$A$7:$A$11,Бонусы!$B$7:$B$11)</f>
        <v/>
      </c>
      <c r="M36" s="12">
        <f>J36+K36+L36</f>
        <v/>
      </c>
    </row>
    <row r="37">
      <c r="A37" s="7" t="n">
        <v>46003</v>
      </c>
      <c r="B37" s="5" t="inlineStr">
        <is>
          <t>Анна</t>
        </is>
      </c>
      <c r="C37" s="8" t="n">
        <v>0.3229166666666667</v>
      </c>
      <c r="D37" s="8" t="n">
        <v>0.625</v>
      </c>
      <c r="E37" s="9" t="n">
        <v>29915</v>
      </c>
      <c r="F37" s="10">
        <f>IF(D37&lt;C37, (D37+1-C37)*24, (D37-C37)*24)</f>
        <v/>
      </c>
      <c r="G37" s="11">
        <f>IF(A37=DATE(2025,12,31),2,1)</f>
        <v/>
      </c>
      <c r="H37" s="3">
        <f>VLOOKUP(B37,Ставки!$A$2:$C$100,2,FALSE)</f>
        <v/>
      </c>
      <c r="I37" s="4">
        <f>VLOOKUP(B37,Ставки!$A$2:$C$100,3,FALSE)</f>
        <v/>
      </c>
      <c r="J37" s="12">
        <f>F37*H37*G37</f>
        <v/>
      </c>
      <c r="K37" s="12">
        <f>E37*I37</f>
        <v/>
      </c>
      <c r="L37" s="3">
        <f>LOOKUP(E37,Бонусы!$A$7:$A$11,Бонусы!$B$7:$B$11)</f>
        <v/>
      </c>
      <c r="M37" s="12">
        <f>J37+K37+L37</f>
        <v/>
      </c>
    </row>
    <row r="38">
      <c r="A38" s="7" t="n">
        <v>46003</v>
      </c>
      <c r="B38" s="5" t="inlineStr">
        <is>
          <t>Илья</t>
        </is>
      </c>
      <c r="C38" s="8" t="n">
        <v>0.4166666666666667</v>
      </c>
      <c r="D38" s="8" t="n">
        <v>0.75</v>
      </c>
      <c r="E38" s="9" t="n">
        <v>29610</v>
      </c>
      <c r="F38" s="10">
        <f>IF(D38&lt;C38, (D38+1-C38)*24, (D38-C38)*24)</f>
        <v/>
      </c>
      <c r="G38" s="11">
        <f>IF(A38=DATE(2025,12,31),2,1)</f>
        <v/>
      </c>
      <c r="H38" s="3">
        <f>VLOOKUP(B38,Ставки!$A$2:$C$100,2,FALSE)</f>
        <v/>
      </c>
      <c r="I38" s="4">
        <f>VLOOKUP(B38,Ставки!$A$2:$C$100,3,FALSE)</f>
        <v/>
      </c>
      <c r="J38" s="12">
        <f>F38*H38*G38</f>
        <v/>
      </c>
      <c r="K38" s="12">
        <f>E38*I38</f>
        <v/>
      </c>
      <c r="L38" s="3">
        <f>LOOKUP(E38,Бонусы!$A$7:$A$11,Бонусы!$B$7:$B$11)</f>
        <v/>
      </c>
      <c r="M38" s="12">
        <f>J38+K38+L38</f>
        <v/>
      </c>
    </row>
    <row r="39">
      <c r="A39" s="7" t="n">
        <v>46003</v>
      </c>
      <c r="B39" s="5" t="inlineStr">
        <is>
          <t>Ольга</t>
        </is>
      </c>
      <c r="C39" s="8" t="n">
        <v>0.4583333333333333</v>
      </c>
      <c r="D39" s="8" t="n">
        <v>0.84375</v>
      </c>
      <c r="E39" s="9" t="n">
        <v>29287</v>
      </c>
      <c r="F39" s="10">
        <f>IF(D39&lt;C39, (D39+1-C39)*24, (D39-C39)*24)</f>
        <v/>
      </c>
      <c r="G39" s="11">
        <f>IF(A39=DATE(2025,12,31),2,1)</f>
        <v/>
      </c>
      <c r="H39" s="3">
        <f>VLOOKUP(B39,Ставки!$A$2:$C$100,2,FALSE)</f>
        <v/>
      </c>
      <c r="I39" s="4">
        <f>VLOOKUP(B39,Ставки!$A$2:$C$100,3,FALSE)</f>
        <v/>
      </c>
      <c r="J39" s="12">
        <f>F39*H39*G39</f>
        <v/>
      </c>
      <c r="K39" s="12">
        <f>E39*I39</f>
        <v/>
      </c>
      <c r="L39" s="3">
        <f>LOOKUP(E39,Бонусы!$A$7:$A$11,Бонусы!$B$7:$B$11)</f>
        <v/>
      </c>
      <c r="M39" s="12">
        <f>J39+K39+L39</f>
        <v/>
      </c>
    </row>
    <row r="40">
      <c r="A40" s="7" t="n">
        <v>46003</v>
      </c>
      <c r="B40" s="5" t="inlineStr">
        <is>
          <t>Мария</t>
        </is>
      </c>
      <c r="C40" s="8" t="n">
        <v>0.6354166666666666</v>
      </c>
      <c r="D40" s="8" t="n">
        <v>0.96875</v>
      </c>
      <c r="E40" s="9" t="n">
        <v>52028</v>
      </c>
      <c r="F40" s="10">
        <f>IF(D40&lt;C40, (D40+1-C40)*24, (D40-C40)*24)</f>
        <v/>
      </c>
      <c r="G40" s="11">
        <f>IF(A40=DATE(2025,12,31),2,1)</f>
        <v/>
      </c>
      <c r="H40" s="3">
        <f>VLOOKUP(B40,Ставки!$A$2:$C$100,2,FALSE)</f>
        <v/>
      </c>
      <c r="I40" s="4">
        <f>VLOOKUP(B40,Ставки!$A$2:$C$100,3,FALSE)</f>
        <v/>
      </c>
      <c r="J40" s="12">
        <f>F40*H40*G40</f>
        <v/>
      </c>
      <c r="K40" s="12">
        <f>E40*I40</f>
        <v/>
      </c>
      <c r="L40" s="3">
        <f>LOOKUP(E40,Бонусы!$A$7:$A$11,Бонусы!$B$7:$B$11)</f>
        <v/>
      </c>
      <c r="M40" s="12">
        <f>J40+K40+L40</f>
        <v/>
      </c>
    </row>
    <row r="41">
      <c r="A41" s="7" t="n">
        <v>46004</v>
      </c>
      <c r="B41" s="5" t="inlineStr">
        <is>
          <t>Сергей</t>
        </is>
      </c>
      <c r="C41" s="8" t="n">
        <v>0.3125</v>
      </c>
      <c r="D41" s="8" t="n">
        <v>0.6458333333333334</v>
      </c>
      <c r="E41" s="9" t="n">
        <v>24207</v>
      </c>
      <c r="F41" s="10">
        <f>IF(D41&lt;C41, (D41+1-C41)*24, (D41-C41)*24)</f>
        <v/>
      </c>
      <c r="G41" s="11">
        <f>IF(A41=DATE(2025,12,31),2,1)</f>
        <v/>
      </c>
      <c r="H41" s="3">
        <f>VLOOKUP(B41,Ставки!$A$2:$C$100,2,FALSE)</f>
        <v/>
      </c>
      <c r="I41" s="4">
        <f>VLOOKUP(B41,Ставки!$A$2:$C$100,3,FALSE)</f>
        <v/>
      </c>
      <c r="J41" s="12">
        <f>F41*H41*G41</f>
        <v/>
      </c>
      <c r="K41" s="12">
        <f>E41*I41</f>
        <v/>
      </c>
      <c r="L41" s="3">
        <f>LOOKUP(E41,Бонусы!$A$7:$A$11,Бонусы!$B$7:$B$11)</f>
        <v/>
      </c>
      <c r="M41" s="12">
        <f>J41+K41+L41</f>
        <v/>
      </c>
    </row>
    <row r="42">
      <c r="A42" s="7" t="n">
        <v>46004</v>
      </c>
      <c r="B42" s="5" t="inlineStr">
        <is>
          <t>Ольга</t>
        </is>
      </c>
      <c r="C42" s="8" t="n">
        <v>0.4479166666666667</v>
      </c>
      <c r="D42" s="8" t="n">
        <v>0.7604166666666666</v>
      </c>
      <c r="E42" s="9" t="n">
        <v>35512</v>
      </c>
      <c r="F42" s="10">
        <f>IF(D42&lt;C42, (D42+1-C42)*24, (D42-C42)*24)</f>
        <v/>
      </c>
      <c r="G42" s="11">
        <f>IF(A42=DATE(2025,12,31),2,1)</f>
        <v/>
      </c>
      <c r="H42" s="3">
        <f>VLOOKUP(B42,Ставки!$A$2:$C$100,2,FALSE)</f>
        <v/>
      </c>
      <c r="I42" s="4">
        <f>VLOOKUP(B42,Ставки!$A$2:$C$100,3,FALSE)</f>
        <v/>
      </c>
      <c r="J42" s="12">
        <f>F42*H42*G42</f>
        <v/>
      </c>
      <c r="K42" s="12">
        <f>E42*I42</f>
        <v/>
      </c>
      <c r="L42" s="3">
        <f>LOOKUP(E42,Бонусы!$A$7:$A$11,Бонусы!$B$7:$B$11)</f>
        <v/>
      </c>
      <c r="M42" s="12">
        <f>J42+K42+L42</f>
        <v/>
      </c>
    </row>
    <row r="43">
      <c r="A43" s="7" t="n">
        <v>46004</v>
      </c>
      <c r="B43" s="5" t="inlineStr">
        <is>
          <t>Анна</t>
        </is>
      </c>
      <c r="C43" s="8" t="n">
        <v>0.46875</v>
      </c>
      <c r="D43" s="8" t="n">
        <v>0.8333333333333334</v>
      </c>
      <c r="E43" s="9" t="n">
        <v>46438</v>
      </c>
      <c r="F43" s="10">
        <f>IF(D43&lt;C43, (D43+1-C43)*24, (D43-C43)*24)</f>
        <v/>
      </c>
      <c r="G43" s="11">
        <f>IF(A43=DATE(2025,12,31),2,1)</f>
        <v/>
      </c>
      <c r="H43" s="3">
        <f>VLOOKUP(B43,Ставки!$A$2:$C$100,2,FALSE)</f>
        <v/>
      </c>
      <c r="I43" s="4">
        <f>VLOOKUP(B43,Ставки!$A$2:$C$100,3,FALSE)</f>
        <v/>
      </c>
      <c r="J43" s="12">
        <f>F43*H43*G43</f>
        <v/>
      </c>
      <c r="K43" s="12">
        <f>E43*I43</f>
        <v/>
      </c>
      <c r="L43" s="3">
        <f>LOOKUP(E43,Бонусы!$A$7:$A$11,Бонусы!$B$7:$B$11)</f>
        <v/>
      </c>
      <c r="M43" s="12">
        <f>J43+K43+L43</f>
        <v/>
      </c>
    </row>
    <row r="44">
      <c r="A44" s="7" t="n">
        <v>46004</v>
      </c>
      <c r="B44" s="5" t="inlineStr">
        <is>
          <t>Сергей</t>
        </is>
      </c>
      <c r="C44" s="8" t="n">
        <v>0.65625</v>
      </c>
      <c r="D44" s="8" t="n">
        <v>0.9791666666666666</v>
      </c>
      <c r="E44" s="9" t="n">
        <v>39469</v>
      </c>
      <c r="F44" s="10">
        <f>IF(D44&lt;C44, (D44+1-C44)*24, (D44-C44)*24)</f>
        <v/>
      </c>
      <c r="G44" s="11">
        <f>IF(A44=DATE(2025,12,31),2,1)</f>
        <v/>
      </c>
      <c r="H44" s="3">
        <f>VLOOKUP(B44,Ставки!$A$2:$C$100,2,FALSE)</f>
        <v/>
      </c>
      <c r="I44" s="4">
        <f>VLOOKUP(B44,Ставки!$A$2:$C$100,3,FALSE)</f>
        <v/>
      </c>
      <c r="J44" s="12">
        <f>F44*H44*G44</f>
        <v/>
      </c>
      <c r="K44" s="12">
        <f>E44*I44</f>
        <v/>
      </c>
      <c r="L44" s="3">
        <f>LOOKUP(E44,Бонусы!$A$7:$A$11,Бонусы!$B$7:$B$11)</f>
        <v/>
      </c>
      <c r="M44" s="12">
        <f>J44+K44+L44</f>
        <v/>
      </c>
    </row>
    <row r="45">
      <c r="A45" s="7" t="n">
        <v>46005</v>
      </c>
      <c r="B45" s="5" t="inlineStr">
        <is>
          <t>Мария</t>
        </is>
      </c>
      <c r="C45" s="8" t="n">
        <v>0.3125</v>
      </c>
      <c r="D45" s="8" t="n">
        <v>0.625</v>
      </c>
      <c r="E45" s="9" t="n">
        <v>22946</v>
      </c>
      <c r="F45" s="10">
        <f>IF(D45&lt;C45, (D45+1-C45)*24, (D45-C45)*24)</f>
        <v/>
      </c>
      <c r="G45" s="11">
        <f>IF(A45=DATE(2025,12,31),2,1)</f>
        <v/>
      </c>
      <c r="H45" s="3">
        <f>VLOOKUP(B45,Ставки!$A$2:$C$100,2,FALSE)</f>
        <v/>
      </c>
      <c r="I45" s="4">
        <f>VLOOKUP(B45,Ставки!$A$2:$C$100,3,FALSE)</f>
        <v/>
      </c>
      <c r="J45" s="12">
        <f>F45*H45*G45</f>
        <v/>
      </c>
      <c r="K45" s="12">
        <f>E45*I45</f>
        <v/>
      </c>
      <c r="L45" s="3">
        <f>LOOKUP(E45,Бонусы!$A$7:$A$11,Бонусы!$B$7:$B$11)</f>
        <v/>
      </c>
      <c r="M45" s="12">
        <f>J45+K45+L45</f>
        <v/>
      </c>
    </row>
    <row r="46">
      <c r="A46" s="7" t="n">
        <v>46005</v>
      </c>
      <c r="B46" s="5" t="inlineStr">
        <is>
          <t>Илья</t>
        </is>
      </c>
      <c r="C46" s="8" t="n">
        <v>0.4270833333333333</v>
      </c>
      <c r="D46" s="8" t="n">
        <v>0.7708333333333334</v>
      </c>
      <c r="E46" s="9" t="n">
        <v>32280</v>
      </c>
      <c r="F46" s="10">
        <f>IF(D46&lt;C46, (D46+1-C46)*24, (D46-C46)*24)</f>
        <v/>
      </c>
      <c r="G46" s="11">
        <f>IF(A46=DATE(2025,12,31),2,1)</f>
        <v/>
      </c>
      <c r="H46" s="3">
        <f>VLOOKUP(B46,Ставки!$A$2:$C$100,2,FALSE)</f>
        <v/>
      </c>
      <c r="I46" s="4">
        <f>VLOOKUP(B46,Ставки!$A$2:$C$100,3,FALSE)</f>
        <v/>
      </c>
      <c r="J46" s="12">
        <f>F46*H46*G46</f>
        <v/>
      </c>
      <c r="K46" s="12">
        <f>E46*I46</f>
        <v/>
      </c>
      <c r="L46" s="3">
        <f>LOOKUP(E46,Бонусы!$A$7:$A$11,Бонусы!$B$7:$B$11)</f>
        <v/>
      </c>
      <c r="M46" s="12">
        <f>J46+K46+L46</f>
        <v/>
      </c>
    </row>
    <row r="47">
      <c r="A47" s="7" t="n">
        <v>46005</v>
      </c>
      <c r="B47" s="5" t="inlineStr">
        <is>
          <t>Ольга</t>
        </is>
      </c>
      <c r="C47" s="8" t="n">
        <v>0.6458333333333334</v>
      </c>
      <c r="D47" s="8" t="n">
        <v>0.9583333333333334</v>
      </c>
      <c r="E47" s="9" t="n">
        <v>63082</v>
      </c>
      <c r="F47" s="10">
        <f>IF(D47&lt;C47, (D47+1-C47)*24, (D47-C47)*24)</f>
        <v/>
      </c>
      <c r="G47" s="11">
        <f>IF(A47=DATE(2025,12,31),2,1)</f>
        <v/>
      </c>
      <c r="H47" s="3">
        <f>VLOOKUP(B47,Ставки!$A$2:$C$100,2,FALSE)</f>
        <v/>
      </c>
      <c r="I47" s="4">
        <f>VLOOKUP(B47,Ставки!$A$2:$C$100,3,FALSE)</f>
        <v/>
      </c>
      <c r="J47" s="12">
        <f>F47*H47*G47</f>
        <v/>
      </c>
      <c r="K47" s="12">
        <f>E47*I47</f>
        <v/>
      </c>
      <c r="L47" s="3">
        <f>LOOKUP(E47,Бонусы!$A$7:$A$11,Бонусы!$B$7:$B$11)</f>
        <v/>
      </c>
      <c r="M47" s="12">
        <f>J47+K47+L47</f>
        <v/>
      </c>
    </row>
    <row r="48">
      <c r="A48" s="7" t="n">
        <v>46006</v>
      </c>
      <c r="B48" s="5" t="inlineStr">
        <is>
          <t>Сергей</t>
        </is>
      </c>
      <c r="C48" s="8" t="n">
        <v>0.3229166666666667</v>
      </c>
      <c r="D48" s="8" t="n">
        <v>0.6354166666666666</v>
      </c>
      <c r="E48" s="9" t="n">
        <v>26710</v>
      </c>
      <c r="F48" s="10">
        <f>IF(D48&lt;C48, (D48+1-C48)*24, (D48-C48)*24)</f>
        <v/>
      </c>
      <c r="G48" s="11">
        <f>IF(A48=DATE(2025,12,31),2,1)</f>
        <v/>
      </c>
      <c r="H48" s="3">
        <f>VLOOKUP(B48,Ставки!$A$2:$C$100,2,FALSE)</f>
        <v/>
      </c>
      <c r="I48" s="4">
        <f>VLOOKUP(B48,Ставки!$A$2:$C$100,3,FALSE)</f>
        <v/>
      </c>
      <c r="J48" s="12">
        <f>F48*H48*G48</f>
        <v/>
      </c>
      <c r="K48" s="12">
        <f>E48*I48</f>
        <v/>
      </c>
      <c r="L48" s="3">
        <f>LOOKUP(E48,Бонусы!$A$7:$A$11,Бонусы!$B$7:$B$11)</f>
        <v/>
      </c>
      <c r="M48" s="12">
        <f>J48+K48+L48</f>
        <v/>
      </c>
    </row>
    <row r="49">
      <c r="A49" s="7" t="n">
        <v>46006</v>
      </c>
      <c r="B49" s="5" t="inlineStr">
        <is>
          <t>Мария</t>
        </is>
      </c>
      <c r="C49" s="8" t="n">
        <v>0.4166666666666667</v>
      </c>
      <c r="D49" s="8" t="n">
        <v>0.7708333333333334</v>
      </c>
      <c r="E49" s="9" t="n">
        <v>34305</v>
      </c>
      <c r="F49" s="10">
        <f>IF(D49&lt;C49, (D49+1-C49)*24, (D49-C49)*24)</f>
        <v/>
      </c>
      <c r="G49" s="11">
        <f>IF(A49=DATE(2025,12,31),2,1)</f>
        <v/>
      </c>
      <c r="H49" s="3">
        <f>VLOOKUP(B49,Ставки!$A$2:$C$100,2,FALSE)</f>
        <v/>
      </c>
      <c r="I49" s="4">
        <f>VLOOKUP(B49,Ставки!$A$2:$C$100,3,FALSE)</f>
        <v/>
      </c>
      <c r="J49" s="12">
        <f>F49*H49*G49</f>
        <v/>
      </c>
      <c r="K49" s="12">
        <f>E49*I49</f>
        <v/>
      </c>
      <c r="L49" s="3">
        <f>LOOKUP(E49,Бонусы!$A$7:$A$11,Бонусы!$B$7:$B$11)</f>
        <v/>
      </c>
      <c r="M49" s="12">
        <f>J49+K49+L49</f>
        <v/>
      </c>
    </row>
    <row r="50">
      <c r="A50" s="7" t="n">
        <v>46006</v>
      </c>
      <c r="B50" s="5" t="inlineStr">
        <is>
          <t>Илья</t>
        </is>
      </c>
      <c r="C50" s="8" t="n">
        <v>0.65625</v>
      </c>
      <c r="D50" s="8" t="n">
        <v>0.9583333333333334</v>
      </c>
      <c r="E50" s="9" t="n">
        <v>48910</v>
      </c>
      <c r="F50" s="10">
        <f>IF(D50&lt;C50, (D50+1-C50)*24, (D50-C50)*24)</f>
        <v/>
      </c>
      <c r="G50" s="11">
        <f>IF(A50=DATE(2025,12,31),2,1)</f>
        <v/>
      </c>
      <c r="H50" s="3">
        <f>VLOOKUP(B50,Ставки!$A$2:$C$100,2,FALSE)</f>
        <v/>
      </c>
      <c r="I50" s="4">
        <f>VLOOKUP(B50,Ставки!$A$2:$C$100,3,FALSE)</f>
        <v/>
      </c>
      <c r="J50" s="12">
        <f>F50*H50*G50</f>
        <v/>
      </c>
      <c r="K50" s="12">
        <f>E50*I50</f>
        <v/>
      </c>
      <c r="L50" s="3">
        <f>LOOKUP(E50,Бонусы!$A$7:$A$11,Бонусы!$B$7:$B$11)</f>
        <v/>
      </c>
      <c r="M50" s="12">
        <f>J50+K50+L50</f>
        <v/>
      </c>
    </row>
    <row r="51">
      <c r="A51" s="7" t="n">
        <v>46007</v>
      </c>
      <c r="B51" s="5" t="inlineStr">
        <is>
          <t>Анна</t>
        </is>
      </c>
      <c r="C51" s="8" t="n">
        <v>0.3229166666666667</v>
      </c>
      <c r="D51" s="8" t="n">
        <v>0.6458333333333334</v>
      </c>
      <c r="E51" s="9" t="n">
        <v>27692</v>
      </c>
      <c r="F51" s="10">
        <f>IF(D51&lt;C51, (D51+1-C51)*24, (D51-C51)*24)</f>
        <v/>
      </c>
      <c r="G51" s="11">
        <f>IF(A51=DATE(2025,12,31),2,1)</f>
        <v/>
      </c>
      <c r="H51" s="3">
        <f>VLOOKUP(B51,Ставки!$A$2:$C$100,2,FALSE)</f>
        <v/>
      </c>
      <c r="I51" s="4">
        <f>VLOOKUP(B51,Ставки!$A$2:$C$100,3,FALSE)</f>
        <v/>
      </c>
      <c r="J51" s="12">
        <f>F51*H51*G51</f>
        <v/>
      </c>
      <c r="K51" s="12">
        <f>E51*I51</f>
        <v/>
      </c>
      <c r="L51" s="3">
        <f>LOOKUP(E51,Бонусы!$A$7:$A$11,Бонусы!$B$7:$B$11)</f>
        <v/>
      </c>
      <c r="M51" s="12">
        <f>J51+K51+L51</f>
        <v/>
      </c>
    </row>
    <row r="52">
      <c r="A52" s="7" t="n">
        <v>46007</v>
      </c>
      <c r="B52" s="5" t="inlineStr">
        <is>
          <t>Анна</t>
        </is>
      </c>
      <c r="C52" s="8" t="n">
        <v>0.4166666666666667</v>
      </c>
      <c r="D52" s="8" t="n">
        <v>0.7708333333333334</v>
      </c>
      <c r="E52" s="9" t="n">
        <v>29211</v>
      </c>
      <c r="F52" s="10">
        <f>IF(D52&lt;C52, (D52+1-C52)*24, (D52-C52)*24)</f>
        <v/>
      </c>
      <c r="G52" s="11">
        <f>IF(A52=DATE(2025,12,31),2,1)</f>
        <v/>
      </c>
      <c r="H52" s="3">
        <f>VLOOKUP(B52,Ставки!$A$2:$C$100,2,FALSE)</f>
        <v/>
      </c>
      <c r="I52" s="4">
        <f>VLOOKUP(B52,Ставки!$A$2:$C$100,3,FALSE)</f>
        <v/>
      </c>
      <c r="J52" s="12">
        <f>F52*H52*G52</f>
        <v/>
      </c>
      <c r="K52" s="12">
        <f>E52*I52</f>
        <v/>
      </c>
      <c r="L52" s="3">
        <f>LOOKUP(E52,Бонусы!$A$7:$A$11,Бонусы!$B$7:$B$11)</f>
        <v/>
      </c>
      <c r="M52" s="12">
        <f>J52+K52+L52</f>
        <v/>
      </c>
    </row>
    <row r="53">
      <c r="A53" s="7" t="n">
        <v>46007</v>
      </c>
      <c r="B53" s="5" t="inlineStr">
        <is>
          <t>Ольга</t>
        </is>
      </c>
      <c r="C53" s="8" t="n">
        <v>0.625</v>
      </c>
      <c r="D53" s="8" t="n">
        <v>0.96875</v>
      </c>
      <c r="E53" s="9" t="n">
        <v>41421</v>
      </c>
      <c r="F53" s="10">
        <f>IF(D53&lt;C53, (D53+1-C53)*24, (D53-C53)*24)</f>
        <v/>
      </c>
      <c r="G53" s="11">
        <f>IF(A53=DATE(2025,12,31),2,1)</f>
        <v/>
      </c>
      <c r="H53" s="3">
        <f>VLOOKUP(B53,Ставки!$A$2:$C$100,2,FALSE)</f>
        <v/>
      </c>
      <c r="I53" s="4">
        <f>VLOOKUP(B53,Ставки!$A$2:$C$100,3,FALSE)</f>
        <v/>
      </c>
      <c r="J53" s="12">
        <f>F53*H53*G53</f>
        <v/>
      </c>
      <c r="K53" s="12">
        <f>E53*I53</f>
        <v/>
      </c>
      <c r="L53" s="3">
        <f>LOOKUP(E53,Бонусы!$A$7:$A$11,Бонусы!$B$7:$B$11)</f>
        <v/>
      </c>
      <c r="M53" s="12">
        <f>J53+K53+L53</f>
        <v/>
      </c>
    </row>
    <row r="54">
      <c r="A54" s="7" t="n">
        <v>46008</v>
      </c>
      <c r="B54" s="5" t="inlineStr">
        <is>
          <t>Илья</t>
        </is>
      </c>
      <c r="C54" s="8" t="n">
        <v>0.2916666666666667</v>
      </c>
      <c r="D54" s="8" t="n">
        <v>0.6458333333333334</v>
      </c>
      <c r="E54" s="9" t="n">
        <v>27287</v>
      </c>
      <c r="F54" s="10">
        <f>IF(D54&lt;C54, (D54+1-C54)*24, (D54-C54)*24)</f>
        <v/>
      </c>
      <c r="G54" s="11">
        <f>IF(A54=DATE(2025,12,31),2,1)</f>
        <v/>
      </c>
      <c r="H54" s="3">
        <f>VLOOKUP(B54,Ставки!$A$2:$C$100,2,FALSE)</f>
        <v/>
      </c>
      <c r="I54" s="4">
        <f>VLOOKUP(B54,Ставки!$A$2:$C$100,3,FALSE)</f>
        <v/>
      </c>
      <c r="J54" s="12">
        <f>F54*H54*G54</f>
        <v/>
      </c>
      <c r="K54" s="12">
        <f>E54*I54</f>
        <v/>
      </c>
      <c r="L54" s="3">
        <f>LOOKUP(E54,Бонусы!$A$7:$A$11,Бонусы!$B$7:$B$11)</f>
        <v/>
      </c>
      <c r="M54" s="12">
        <f>J54+K54+L54</f>
        <v/>
      </c>
    </row>
    <row r="55">
      <c r="A55" s="7" t="n">
        <v>46008</v>
      </c>
      <c r="B55" s="5" t="inlineStr">
        <is>
          <t>Сергей</t>
        </is>
      </c>
      <c r="C55" s="8" t="n">
        <v>0.4375</v>
      </c>
      <c r="D55" s="8" t="n">
        <v>0.7604166666666666</v>
      </c>
      <c r="E55" s="9" t="n">
        <v>38349</v>
      </c>
      <c r="F55" s="10">
        <f>IF(D55&lt;C55, (D55+1-C55)*24, (D55-C55)*24)</f>
        <v/>
      </c>
      <c r="G55" s="11">
        <f>IF(A55=DATE(2025,12,31),2,1)</f>
        <v/>
      </c>
      <c r="H55" s="3">
        <f>VLOOKUP(B55,Ставки!$A$2:$C$100,2,FALSE)</f>
        <v/>
      </c>
      <c r="I55" s="4">
        <f>VLOOKUP(B55,Ставки!$A$2:$C$100,3,FALSE)</f>
        <v/>
      </c>
      <c r="J55" s="12">
        <f>F55*H55*G55</f>
        <v/>
      </c>
      <c r="K55" s="12">
        <f>E55*I55</f>
        <v/>
      </c>
      <c r="L55" s="3">
        <f>LOOKUP(E55,Бонусы!$A$7:$A$11,Бонусы!$B$7:$B$11)</f>
        <v/>
      </c>
      <c r="M55" s="12">
        <f>J55+K55+L55</f>
        <v/>
      </c>
    </row>
    <row r="56">
      <c r="A56" s="7" t="n">
        <v>46008</v>
      </c>
      <c r="B56" s="5" t="inlineStr">
        <is>
          <t>Мария</t>
        </is>
      </c>
      <c r="C56" s="8" t="n">
        <v>0.6458333333333334</v>
      </c>
      <c r="D56" s="8" t="n">
        <v>0.9791666666666666</v>
      </c>
      <c r="E56" s="9" t="n">
        <v>28070</v>
      </c>
      <c r="F56" s="10">
        <f>IF(D56&lt;C56, (D56+1-C56)*24, (D56-C56)*24)</f>
        <v/>
      </c>
      <c r="G56" s="11">
        <f>IF(A56=DATE(2025,12,31),2,1)</f>
        <v/>
      </c>
      <c r="H56" s="3">
        <f>VLOOKUP(B56,Ставки!$A$2:$C$100,2,FALSE)</f>
        <v/>
      </c>
      <c r="I56" s="4">
        <f>VLOOKUP(B56,Ставки!$A$2:$C$100,3,FALSE)</f>
        <v/>
      </c>
      <c r="J56" s="12">
        <f>F56*H56*G56</f>
        <v/>
      </c>
      <c r="K56" s="12">
        <f>E56*I56</f>
        <v/>
      </c>
      <c r="L56" s="3">
        <f>LOOKUP(E56,Бонусы!$A$7:$A$11,Бонусы!$B$7:$B$11)</f>
        <v/>
      </c>
      <c r="M56" s="12">
        <f>J56+K56+L56</f>
        <v/>
      </c>
    </row>
    <row r="57">
      <c r="A57" s="7" t="n">
        <v>46009</v>
      </c>
      <c r="B57" s="5" t="inlineStr">
        <is>
          <t>Мария</t>
        </is>
      </c>
      <c r="C57" s="8" t="n">
        <v>0.2916666666666667</v>
      </c>
      <c r="D57" s="8" t="n">
        <v>0.6458333333333334</v>
      </c>
      <c r="E57" s="9" t="n">
        <v>25452</v>
      </c>
      <c r="F57" s="10">
        <f>IF(D57&lt;C57, (D57+1-C57)*24, (D57-C57)*24)</f>
        <v/>
      </c>
      <c r="G57" s="11">
        <f>IF(A57=DATE(2025,12,31),2,1)</f>
        <v/>
      </c>
      <c r="H57" s="3">
        <f>VLOOKUP(B57,Ставки!$A$2:$C$100,2,FALSE)</f>
        <v/>
      </c>
      <c r="I57" s="4">
        <f>VLOOKUP(B57,Ставки!$A$2:$C$100,3,FALSE)</f>
        <v/>
      </c>
      <c r="J57" s="12">
        <f>F57*H57*G57</f>
        <v/>
      </c>
      <c r="K57" s="12">
        <f>E57*I57</f>
        <v/>
      </c>
      <c r="L57" s="3">
        <f>LOOKUP(E57,Бонусы!$A$7:$A$11,Бонусы!$B$7:$B$11)</f>
        <v/>
      </c>
      <c r="M57" s="12">
        <f>J57+K57+L57</f>
        <v/>
      </c>
    </row>
    <row r="58">
      <c r="A58" s="7" t="n">
        <v>46009</v>
      </c>
      <c r="B58" s="5" t="inlineStr">
        <is>
          <t>Ольга</t>
        </is>
      </c>
      <c r="C58" s="8" t="n">
        <v>0.4479166666666667</v>
      </c>
      <c r="D58" s="8" t="n">
        <v>0.7708333333333334</v>
      </c>
      <c r="E58" s="9" t="n">
        <v>34408</v>
      </c>
      <c r="F58" s="10">
        <f>IF(D58&lt;C58, (D58+1-C58)*24, (D58-C58)*24)</f>
        <v/>
      </c>
      <c r="G58" s="11">
        <f>IF(A58=DATE(2025,12,31),2,1)</f>
        <v/>
      </c>
      <c r="H58" s="3">
        <f>VLOOKUP(B58,Ставки!$A$2:$C$100,2,FALSE)</f>
        <v/>
      </c>
      <c r="I58" s="4">
        <f>VLOOKUP(B58,Ставки!$A$2:$C$100,3,FALSE)</f>
        <v/>
      </c>
      <c r="J58" s="12">
        <f>F58*H58*G58</f>
        <v/>
      </c>
      <c r="K58" s="12">
        <f>E58*I58</f>
        <v/>
      </c>
      <c r="L58" s="3">
        <f>LOOKUP(E58,Бонусы!$A$7:$A$11,Бонусы!$B$7:$B$11)</f>
        <v/>
      </c>
      <c r="M58" s="12">
        <f>J58+K58+L58</f>
        <v/>
      </c>
    </row>
    <row r="59">
      <c r="A59" s="7" t="n">
        <v>46009</v>
      </c>
      <c r="B59" s="5" t="inlineStr">
        <is>
          <t>Анна</t>
        </is>
      </c>
      <c r="C59" s="8" t="n">
        <v>0.6354166666666666</v>
      </c>
      <c r="D59" s="8" t="n">
        <v>0.9791666666666666</v>
      </c>
      <c r="E59" s="9" t="n">
        <v>37711</v>
      </c>
      <c r="F59" s="10">
        <f>IF(D59&lt;C59, (D59+1-C59)*24, (D59-C59)*24)</f>
        <v/>
      </c>
      <c r="G59" s="11">
        <f>IF(A59=DATE(2025,12,31),2,1)</f>
        <v/>
      </c>
      <c r="H59" s="3">
        <f>VLOOKUP(B59,Ставки!$A$2:$C$100,2,FALSE)</f>
        <v/>
      </c>
      <c r="I59" s="4">
        <f>VLOOKUP(B59,Ставки!$A$2:$C$100,3,FALSE)</f>
        <v/>
      </c>
      <c r="J59" s="12">
        <f>F59*H59*G59</f>
        <v/>
      </c>
      <c r="K59" s="12">
        <f>E59*I59</f>
        <v/>
      </c>
      <c r="L59" s="3">
        <f>LOOKUP(E59,Бонусы!$A$7:$A$11,Бонусы!$B$7:$B$11)</f>
        <v/>
      </c>
      <c r="M59" s="12">
        <f>J59+K59+L59</f>
        <v/>
      </c>
    </row>
    <row r="60">
      <c r="A60" s="7" t="n">
        <v>46010</v>
      </c>
      <c r="B60" s="5" t="inlineStr">
        <is>
          <t>Сергей</t>
        </is>
      </c>
      <c r="C60" s="8" t="n">
        <v>0.3125</v>
      </c>
      <c r="D60" s="8" t="n">
        <v>0.6354166666666666</v>
      </c>
      <c r="E60" s="9" t="n">
        <v>20780</v>
      </c>
      <c r="F60" s="10">
        <f>IF(D60&lt;C60, (D60+1-C60)*24, (D60-C60)*24)</f>
        <v/>
      </c>
      <c r="G60" s="11">
        <f>IF(A60=DATE(2025,12,31),2,1)</f>
        <v/>
      </c>
      <c r="H60" s="3">
        <f>VLOOKUP(B60,Ставки!$A$2:$C$100,2,FALSE)</f>
        <v/>
      </c>
      <c r="I60" s="4">
        <f>VLOOKUP(B60,Ставки!$A$2:$C$100,3,FALSE)</f>
        <v/>
      </c>
      <c r="J60" s="12">
        <f>F60*H60*G60</f>
        <v/>
      </c>
      <c r="K60" s="12">
        <f>E60*I60</f>
        <v/>
      </c>
      <c r="L60" s="3">
        <f>LOOKUP(E60,Бонусы!$A$7:$A$11,Бонусы!$B$7:$B$11)</f>
        <v/>
      </c>
      <c r="M60" s="12">
        <f>J60+K60+L60</f>
        <v/>
      </c>
    </row>
    <row r="61">
      <c r="A61" s="7" t="n">
        <v>46010</v>
      </c>
      <c r="B61" s="5" t="inlineStr">
        <is>
          <t>Илья</t>
        </is>
      </c>
      <c r="C61" s="8" t="n">
        <v>0.4375</v>
      </c>
      <c r="D61" s="8" t="n">
        <v>0.7604166666666666</v>
      </c>
      <c r="E61" s="9" t="n">
        <v>27905</v>
      </c>
      <c r="F61" s="10">
        <f>IF(D61&lt;C61, (D61+1-C61)*24, (D61-C61)*24)</f>
        <v/>
      </c>
      <c r="G61" s="11">
        <f>IF(A61=DATE(2025,12,31),2,1)</f>
        <v/>
      </c>
      <c r="H61" s="3">
        <f>VLOOKUP(B61,Ставки!$A$2:$C$100,2,FALSE)</f>
        <v/>
      </c>
      <c r="I61" s="4">
        <f>VLOOKUP(B61,Ставки!$A$2:$C$100,3,FALSE)</f>
        <v/>
      </c>
      <c r="J61" s="12">
        <f>F61*H61*G61</f>
        <v/>
      </c>
      <c r="K61" s="12">
        <f>E61*I61</f>
        <v/>
      </c>
      <c r="L61" s="3">
        <f>LOOKUP(E61,Бонусы!$A$7:$A$11,Бонусы!$B$7:$B$11)</f>
        <v/>
      </c>
      <c r="M61" s="12">
        <f>J61+K61+L61</f>
        <v/>
      </c>
    </row>
    <row r="62">
      <c r="A62" s="7" t="n">
        <v>46010</v>
      </c>
      <c r="B62" s="5" t="inlineStr">
        <is>
          <t>Ольга</t>
        </is>
      </c>
      <c r="C62" s="8" t="n">
        <v>0.46875</v>
      </c>
      <c r="D62" s="8" t="n">
        <v>0.8541666666666666</v>
      </c>
      <c r="E62" s="9" t="n">
        <v>34194</v>
      </c>
      <c r="F62" s="10">
        <f>IF(D62&lt;C62, (D62+1-C62)*24, (D62-C62)*24)</f>
        <v/>
      </c>
      <c r="G62" s="11">
        <f>IF(A62=DATE(2025,12,31),2,1)</f>
        <v/>
      </c>
      <c r="H62" s="3">
        <f>VLOOKUP(B62,Ставки!$A$2:$C$100,2,FALSE)</f>
        <v/>
      </c>
      <c r="I62" s="4">
        <f>VLOOKUP(B62,Ставки!$A$2:$C$100,3,FALSE)</f>
        <v/>
      </c>
      <c r="J62" s="12">
        <f>F62*H62*G62</f>
        <v/>
      </c>
      <c r="K62" s="12">
        <f>E62*I62</f>
        <v/>
      </c>
      <c r="L62" s="3">
        <f>LOOKUP(E62,Бонусы!$A$7:$A$11,Бонусы!$B$7:$B$11)</f>
        <v/>
      </c>
      <c r="M62" s="12">
        <f>J62+K62+L62</f>
        <v/>
      </c>
    </row>
    <row r="63">
      <c r="A63" s="7" t="n">
        <v>46010</v>
      </c>
      <c r="B63" s="5" t="inlineStr">
        <is>
          <t>Сергей</t>
        </is>
      </c>
      <c r="C63" s="8" t="n">
        <v>0.65625</v>
      </c>
      <c r="D63" s="8" t="n">
        <v>0.9583333333333334</v>
      </c>
      <c r="E63" s="9" t="n">
        <v>39581</v>
      </c>
      <c r="F63" s="10">
        <f>IF(D63&lt;C63, (D63+1-C63)*24, (D63-C63)*24)</f>
        <v/>
      </c>
      <c r="G63" s="11">
        <f>IF(A63=DATE(2025,12,31),2,1)</f>
        <v/>
      </c>
      <c r="H63" s="3">
        <f>VLOOKUP(B63,Ставки!$A$2:$C$100,2,FALSE)</f>
        <v/>
      </c>
      <c r="I63" s="4">
        <f>VLOOKUP(B63,Ставки!$A$2:$C$100,3,FALSE)</f>
        <v/>
      </c>
      <c r="J63" s="12">
        <f>F63*H63*G63</f>
        <v/>
      </c>
      <c r="K63" s="12">
        <f>E63*I63</f>
        <v/>
      </c>
      <c r="L63" s="3">
        <f>LOOKUP(E63,Бонусы!$A$7:$A$11,Бонусы!$B$7:$B$11)</f>
        <v/>
      </c>
      <c r="M63" s="12">
        <f>J63+K63+L63</f>
        <v/>
      </c>
    </row>
    <row r="64">
      <c r="A64" s="7" t="n">
        <v>46011</v>
      </c>
      <c r="B64" s="5" t="inlineStr">
        <is>
          <t>Илья</t>
        </is>
      </c>
      <c r="C64" s="8" t="n">
        <v>0.3125</v>
      </c>
      <c r="D64" s="8" t="n">
        <v>0.6458333333333334</v>
      </c>
      <c r="E64" s="9" t="n">
        <v>23195</v>
      </c>
      <c r="F64" s="10">
        <f>IF(D64&lt;C64, (D64+1-C64)*24, (D64-C64)*24)</f>
        <v/>
      </c>
      <c r="G64" s="11">
        <f>IF(A64=DATE(2025,12,31),2,1)</f>
        <v/>
      </c>
      <c r="H64" s="3">
        <f>VLOOKUP(B64,Ставки!$A$2:$C$100,2,FALSE)</f>
        <v/>
      </c>
      <c r="I64" s="4">
        <f>VLOOKUP(B64,Ставки!$A$2:$C$100,3,FALSE)</f>
        <v/>
      </c>
      <c r="J64" s="12">
        <f>F64*H64*G64</f>
        <v/>
      </c>
      <c r="K64" s="12">
        <f>E64*I64</f>
        <v/>
      </c>
      <c r="L64" s="3">
        <f>LOOKUP(E64,Бонусы!$A$7:$A$11,Бонусы!$B$7:$B$11)</f>
        <v/>
      </c>
      <c r="M64" s="12">
        <f>J64+K64+L64</f>
        <v/>
      </c>
    </row>
    <row r="65">
      <c r="A65" s="7" t="n">
        <v>46011</v>
      </c>
      <c r="B65" s="5" t="inlineStr">
        <is>
          <t>Мария</t>
        </is>
      </c>
      <c r="C65" s="8" t="n">
        <v>0.4375</v>
      </c>
      <c r="D65" s="8" t="n">
        <v>0.7604166666666666</v>
      </c>
      <c r="E65" s="9" t="n">
        <v>43193</v>
      </c>
      <c r="F65" s="10">
        <f>IF(D65&lt;C65, (D65+1-C65)*24, (D65-C65)*24)</f>
        <v/>
      </c>
      <c r="G65" s="11">
        <f>IF(A65=DATE(2025,12,31),2,1)</f>
        <v/>
      </c>
      <c r="H65" s="3">
        <f>VLOOKUP(B65,Ставки!$A$2:$C$100,2,FALSE)</f>
        <v/>
      </c>
      <c r="I65" s="4">
        <f>VLOOKUP(B65,Ставки!$A$2:$C$100,3,FALSE)</f>
        <v/>
      </c>
      <c r="J65" s="12">
        <f>F65*H65*G65</f>
        <v/>
      </c>
      <c r="K65" s="12">
        <f>E65*I65</f>
        <v/>
      </c>
      <c r="L65" s="3">
        <f>LOOKUP(E65,Бонусы!$A$7:$A$11,Бонусы!$B$7:$B$11)</f>
        <v/>
      </c>
      <c r="M65" s="12">
        <f>J65+K65+L65</f>
        <v/>
      </c>
    </row>
    <row r="66">
      <c r="A66" s="7" t="n">
        <v>46011</v>
      </c>
      <c r="B66" s="5" t="inlineStr">
        <is>
          <t>Анна</t>
        </is>
      </c>
      <c r="C66" s="8" t="n">
        <v>0.4895833333333333</v>
      </c>
      <c r="D66" s="8" t="n">
        <v>0.84375</v>
      </c>
      <c r="E66" s="9" t="n">
        <v>43437</v>
      </c>
      <c r="F66" s="10">
        <f>IF(D66&lt;C66, (D66+1-C66)*24, (D66-C66)*24)</f>
        <v/>
      </c>
      <c r="G66" s="11">
        <f>IF(A66=DATE(2025,12,31),2,1)</f>
        <v/>
      </c>
      <c r="H66" s="3">
        <f>VLOOKUP(B66,Ставки!$A$2:$C$100,2,FALSE)</f>
        <v/>
      </c>
      <c r="I66" s="4">
        <f>VLOOKUP(B66,Ставки!$A$2:$C$100,3,FALSE)</f>
        <v/>
      </c>
      <c r="J66" s="12">
        <f>F66*H66*G66</f>
        <v/>
      </c>
      <c r="K66" s="12">
        <f>E66*I66</f>
        <v/>
      </c>
      <c r="L66" s="3">
        <f>LOOKUP(E66,Бонусы!$A$7:$A$11,Бонусы!$B$7:$B$11)</f>
        <v/>
      </c>
      <c r="M66" s="12">
        <f>J66+K66+L66</f>
        <v/>
      </c>
    </row>
    <row r="67">
      <c r="A67" s="7" t="n">
        <v>46011</v>
      </c>
      <c r="B67" s="5" t="inlineStr">
        <is>
          <t>Анна</t>
        </is>
      </c>
      <c r="C67" s="8" t="n">
        <v>0.625</v>
      </c>
      <c r="D67" s="8" t="n">
        <v>0.9791666666666666</v>
      </c>
      <c r="E67" s="9" t="n">
        <v>32387</v>
      </c>
      <c r="F67" s="10">
        <f>IF(D67&lt;C67, (D67+1-C67)*24, (D67-C67)*24)</f>
        <v/>
      </c>
      <c r="G67" s="11">
        <f>IF(A67=DATE(2025,12,31),2,1)</f>
        <v/>
      </c>
      <c r="H67" s="3">
        <f>VLOOKUP(B67,Ставки!$A$2:$C$100,2,FALSE)</f>
        <v/>
      </c>
      <c r="I67" s="4">
        <f>VLOOKUP(B67,Ставки!$A$2:$C$100,3,FALSE)</f>
        <v/>
      </c>
      <c r="J67" s="12">
        <f>F67*H67*G67</f>
        <v/>
      </c>
      <c r="K67" s="12">
        <f>E67*I67</f>
        <v/>
      </c>
      <c r="L67" s="3">
        <f>LOOKUP(E67,Бонусы!$A$7:$A$11,Бонусы!$B$7:$B$11)</f>
        <v/>
      </c>
      <c r="M67" s="12">
        <f>J67+K67+L67</f>
        <v/>
      </c>
    </row>
    <row r="68">
      <c r="A68" s="7" t="n">
        <v>46012</v>
      </c>
      <c r="B68" s="5" t="inlineStr">
        <is>
          <t>Ольга</t>
        </is>
      </c>
      <c r="C68" s="8" t="n">
        <v>0.3125</v>
      </c>
      <c r="D68" s="8" t="n">
        <v>0.625</v>
      </c>
      <c r="E68" s="9" t="n">
        <v>37521</v>
      </c>
      <c r="F68" s="10">
        <f>IF(D68&lt;C68, (D68+1-C68)*24, (D68-C68)*24)</f>
        <v/>
      </c>
      <c r="G68" s="11">
        <f>IF(A68=DATE(2025,12,31),2,1)</f>
        <v/>
      </c>
      <c r="H68" s="3">
        <f>VLOOKUP(B68,Ставки!$A$2:$C$100,2,FALSE)</f>
        <v/>
      </c>
      <c r="I68" s="4">
        <f>VLOOKUP(B68,Ставки!$A$2:$C$100,3,FALSE)</f>
        <v/>
      </c>
      <c r="J68" s="12">
        <f>F68*H68*G68</f>
        <v/>
      </c>
      <c r="K68" s="12">
        <f>E68*I68</f>
        <v/>
      </c>
      <c r="L68" s="3">
        <f>LOOKUP(E68,Бонусы!$A$7:$A$11,Бонусы!$B$7:$B$11)</f>
        <v/>
      </c>
      <c r="M68" s="12">
        <f>J68+K68+L68</f>
        <v/>
      </c>
    </row>
    <row r="69">
      <c r="A69" s="7" t="n">
        <v>46012</v>
      </c>
      <c r="B69" s="5" t="inlineStr">
        <is>
          <t>Сергей</t>
        </is>
      </c>
      <c r="C69" s="8" t="n">
        <v>0.4270833333333333</v>
      </c>
      <c r="D69" s="8" t="n">
        <v>0.75</v>
      </c>
      <c r="E69" s="9" t="n">
        <v>26598</v>
      </c>
      <c r="F69" s="10">
        <f>IF(D69&lt;C69, (D69+1-C69)*24, (D69-C69)*24)</f>
        <v/>
      </c>
      <c r="G69" s="11">
        <f>IF(A69=DATE(2025,12,31),2,1)</f>
        <v/>
      </c>
      <c r="H69" s="3">
        <f>VLOOKUP(B69,Ставки!$A$2:$C$100,2,FALSE)</f>
        <v/>
      </c>
      <c r="I69" s="4">
        <f>VLOOKUP(B69,Ставки!$A$2:$C$100,3,FALSE)</f>
        <v/>
      </c>
      <c r="J69" s="12">
        <f>F69*H69*G69</f>
        <v/>
      </c>
      <c r="K69" s="12">
        <f>E69*I69</f>
        <v/>
      </c>
      <c r="L69" s="3">
        <f>LOOKUP(E69,Бонусы!$A$7:$A$11,Бонусы!$B$7:$B$11)</f>
        <v/>
      </c>
      <c r="M69" s="12">
        <f>J69+K69+L69</f>
        <v/>
      </c>
    </row>
    <row r="70">
      <c r="A70" s="7" t="n">
        <v>46012</v>
      </c>
      <c r="B70" s="5" t="inlineStr">
        <is>
          <t>Илья</t>
        </is>
      </c>
      <c r="C70" s="8" t="n">
        <v>0.6458333333333334</v>
      </c>
      <c r="D70" s="8" t="n">
        <v>0.9791666666666666</v>
      </c>
      <c r="E70" s="9" t="n">
        <v>61691</v>
      </c>
      <c r="F70" s="10">
        <f>IF(D70&lt;C70, (D70+1-C70)*24, (D70-C70)*24)</f>
        <v/>
      </c>
      <c r="G70" s="11">
        <f>IF(A70=DATE(2025,12,31),2,1)</f>
        <v/>
      </c>
      <c r="H70" s="3">
        <f>VLOOKUP(B70,Ставки!$A$2:$C$100,2,FALSE)</f>
        <v/>
      </c>
      <c r="I70" s="4">
        <f>VLOOKUP(B70,Ставки!$A$2:$C$100,3,FALSE)</f>
        <v/>
      </c>
      <c r="J70" s="12">
        <f>F70*H70*G70</f>
        <v/>
      </c>
      <c r="K70" s="12">
        <f>E70*I70</f>
        <v/>
      </c>
      <c r="L70" s="3">
        <f>LOOKUP(E70,Бонусы!$A$7:$A$11,Бонусы!$B$7:$B$11)</f>
        <v/>
      </c>
      <c r="M70" s="12">
        <f>J70+K70+L70</f>
        <v/>
      </c>
    </row>
    <row r="71">
      <c r="A71" s="7" t="n">
        <v>46013</v>
      </c>
      <c r="B71" s="5" t="inlineStr">
        <is>
          <t>Мария</t>
        </is>
      </c>
      <c r="C71" s="8" t="n">
        <v>0.3125</v>
      </c>
      <c r="D71" s="8" t="n">
        <v>0.6458333333333334</v>
      </c>
      <c r="E71" s="9" t="n">
        <v>25330</v>
      </c>
      <c r="F71" s="10">
        <f>IF(D71&lt;C71, (D71+1-C71)*24, (D71-C71)*24)</f>
        <v/>
      </c>
      <c r="G71" s="11">
        <f>IF(A71=DATE(2025,12,31),2,1)</f>
        <v/>
      </c>
      <c r="H71" s="3">
        <f>VLOOKUP(B71,Ставки!$A$2:$C$100,2,FALSE)</f>
        <v/>
      </c>
      <c r="I71" s="4">
        <f>VLOOKUP(B71,Ставки!$A$2:$C$100,3,FALSE)</f>
        <v/>
      </c>
      <c r="J71" s="12">
        <f>F71*H71*G71</f>
        <v/>
      </c>
      <c r="K71" s="12">
        <f>E71*I71</f>
        <v/>
      </c>
      <c r="L71" s="3">
        <f>LOOKUP(E71,Бонусы!$A$7:$A$11,Бонусы!$B$7:$B$11)</f>
        <v/>
      </c>
      <c r="M71" s="12">
        <f>J71+K71+L71</f>
        <v/>
      </c>
    </row>
    <row r="72">
      <c r="A72" s="7" t="n">
        <v>46013</v>
      </c>
      <c r="B72" s="5" t="inlineStr">
        <is>
          <t>Илья</t>
        </is>
      </c>
      <c r="C72" s="8" t="n">
        <v>0.4479166666666667</v>
      </c>
      <c r="D72" s="8" t="n">
        <v>0.7708333333333334</v>
      </c>
      <c r="E72" s="9" t="n">
        <v>29004</v>
      </c>
      <c r="F72" s="10">
        <f>IF(D72&lt;C72, (D72+1-C72)*24, (D72-C72)*24)</f>
        <v/>
      </c>
      <c r="G72" s="11">
        <f>IF(A72=DATE(2025,12,31),2,1)</f>
        <v/>
      </c>
      <c r="H72" s="3">
        <f>VLOOKUP(B72,Ставки!$A$2:$C$100,2,FALSE)</f>
        <v/>
      </c>
      <c r="I72" s="4">
        <f>VLOOKUP(B72,Ставки!$A$2:$C$100,3,FALSE)</f>
        <v/>
      </c>
      <c r="J72" s="12">
        <f>F72*H72*G72</f>
        <v/>
      </c>
      <c r="K72" s="12">
        <f>E72*I72</f>
        <v/>
      </c>
      <c r="L72" s="3">
        <f>LOOKUP(E72,Бонусы!$A$7:$A$11,Бонусы!$B$7:$B$11)</f>
        <v/>
      </c>
      <c r="M72" s="12">
        <f>J72+K72+L72</f>
        <v/>
      </c>
    </row>
    <row r="73">
      <c r="A73" s="7" t="n">
        <v>46013</v>
      </c>
      <c r="B73" s="5" t="inlineStr">
        <is>
          <t>Ольга</t>
        </is>
      </c>
      <c r="C73" s="8" t="n">
        <v>0.65625</v>
      </c>
      <c r="D73" s="8" t="n">
        <v>0.9791666666666666</v>
      </c>
      <c r="E73" s="9" t="n">
        <v>31948</v>
      </c>
      <c r="F73" s="10">
        <f>IF(D73&lt;C73, (D73+1-C73)*24, (D73-C73)*24)</f>
        <v/>
      </c>
      <c r="G73" s="11">
        <f>IF(A73=DATE(2025,12,31),2,1)</f>
        <v/>
      </c>
      <c r="H73" s="3">
        <f>VLOOKUP(B73,Ставки!$A$2:$C$100,2,FALSE)</f>
        <v/>
      </c>
      <c r="I73" s="4">
        <f>VLOOKUP(B73,Ставки!$A$2:$C$100,3,FALSE)</f>
        <v/>
      </c>
      <c r="J73" s="12">
        <f>F73*H73*G73</f>
        <v/>
      </c>
      <c r="K73" s="12">
        <f>E73*I73</f>
        <v/>
      </c>
      <c r="L73" s="3">
        <f>LOOKUP(E73,Бонусы!$A$7:$A$11,Бонусы!$B$7:$B$11)</f>
        <v/>
      </c>
      <c r="M73" s="12">
        <f>J73+K73+L73</f>
        <v/>
      </c>
    </row>
    <row r="74">
      <c r="A74" s="7" t="n">
        <v>46014</v>
      </c>
      <c r="B74" s="5" t="inlineStr">
        <is>
          <t>Мария</t>
        </is>
      </c>
      <c r="C74" s="8" t="n">
        <v>0.3229166666666667</v>
      </c>
      <c r="D74" s="8" t="n">
        <v>0.6354166666666666</v>
      </c>
      <c r="E74" s="9" t="n">
        <v>21333</v>
      </c>
      <c r="F74" s="10">
        <f>IF(D74&lt;C74, (D74+1-C74)*24, (D74-C74)*24)</f>
        <v/>
      </c>
      <c r="G74" s="11">
        <f>IF(A74=DATE(2025,12,31),2,1)</f>
        <v/>
      </c>
      <c r="H74" s="3">
        <f>VLOOKUP(B74,Ставки!$A$2:$C$100,2,FALSE)</f>
        <v/>
      </c>
      <c r="I74" s="4">
        <f>VLOOKUP(B74,Ставки!$A$2:$C$100,3,FALSE)</f>
        <v/>
      </c>
      <c r="J74" s="12">
        <f>F74*H74*G74</f>
        <v/>
      </c>
      <c r="K74" s="12">
        <f>E74*I74</f>
        <v/>
      </c>
      <c r="L74" s="3">
        <f>LOOKUP(E74,Бонусы!$A$7:$A$11,Бонусы!$B$7:$B$11)</f>
        <v/>
      </c>
      <c r="M74" s="12">
        <f>J74+K74+L74</f>
        <v/>
      </c>
    </row>
    <row r="75">
      <c r="A75" s="7" t="n">
        <v>46014</v>
      </c>
      <c r="B75" s="5" t="inlineStr">
        <is>
          <t>Анна</t>
        </is>
      </c>
      <c r="C75" s="8" t="n">
        <v>0.4479166666666667</v>
      </c>
      <c r="D75" s="8" t="n">
        <v>0.7604166666666666</v>
      </c>
      <c r="E75" s="9" t="n">
        <v>39104</v>
      </c>
      <c r="F75" s="10">
        <f>IF(D75&lt;C75, (D75+1-C75)*24, (D75-C75)*24)</f>
        <v/>
      </c>
      <c r="G75" s="11">
        <f>IF(A75=DATE(2025,12,31),2,1)</f>
        <v/>
      </c>
      <c r="H75" s="3">
        <f>VLOOKUP(B75,Ставки!$A$2:$C$100,2,FALSE)</f>
        <v/>
      </c>
      <c r="I75" s="4">
        <f>VLOOKUP(B75,Ставки!$A$2:$C$100,3,FALSE)</f>
        <v/>
      </c>
      <c r="J75" s="12">
        <f>F75*H75*G75</f>
        <v/>
      </c>
      <c r="K75" s="12">
        <f>E75*I75</f>
        <v/>
      </c>
      <c r="L75" s="3">
        <f>LOOKUP(E75,Бонусы!$A$7:$A$11,Бонусы!$B$7:$B$11)</f>
        <v/>
      </c>
      <c r="M75" s="12">
        <f>J75+K75+L75</f>
        <v/>
      </c>
    </row>
    <row r="76">
      <c r="A76" s="7" t="n">
        <v>46014</v>
      </c>
      <c r="B76" s="5" t="inlineStr">
        <is>
          <t>Сергей</t>
        </is>
      </c>
      <c r="C76" s="8" t="n">
        <v>0.6354166666666666</v>
      </c>
      <c r="D76" s="8" t="n">
        <v>0.9583333333333334</v>
      </c>
      <c r="E76" s="9" t="n">
        <v>34020</v>
      </c>
      <c r="F76" s="10">
        <f>IF(D76&lt;C76, (D76+1-C76)*24, (D76-C76)*24)</f>
        <v/>
      </c>
      <c r="G76" s="11">
        <f>IF(A76=DATE(2025,12,31),2,1)</f>
        <v/>
      </c>
      <c r="H76" s="3">
        <f>VLOOKUP(B76,Ставки!$A$2:$C$100,2,FALSE)</f>
        <v/>
      </c>
      <c r="I76" s="4">
        <f>VLOOKUP(B76,Ставки!$A$2:$C$100,3,FALSE)</f>
        <v/>
      </c>
      <c r="J76" s="12">
        <f>F76*H76*G76</f>
        <v/>
      </c>
      <c r="K76" s="12">
        <f>E76*I76</f>
        <v/>
      </c>
      <c r="L76" s="3">
        <f>LOOKUP(E76,Бонусы!$A$7:$A$11,Бонусы!$B$7:$B$11)</f>
        <v/>
      </c>
      <c r="M76" s="12">
        <f>J76+K76+L76</f>
        <v/>
      </c>
    </row>
    <row r="77">
      <c r="A77" s="7" t="n">
        <v>46015</v>
      </c>
      <c r="B77" s="5" t="inlineStr">
        <is>
          <t>Илья</t>
        </is>
      </c>
      <c r="C77" s="8" t="n">
        <v>0.3229166666666667</v>
      </c>
      <c r="D77" s="8" t="n">
        <v>0.625</v>
      </c>
      <c r="E77" s="9" t="n">
        <v>31386</v>
      </c>
      <c r="F77" s="10">
        <f>IF(D77&lt;C77, (D77+1-C77)*24, (D77-C77)*24)</f>
        <v/>
      </c>
      <c r="G77" s="11">
        <f>IF(A77=DATE(2025,12,31),2,1)</f>
        <v/>
      </c>
      <c r="H77" s="3">
        <f>VLOOKUP(B77,Ставки!$A$2:$C$100,2,FALSE)</f>
        <v/>
      </c>
      <c r="I77" s="4">
        <f>VLOOKUP(B77,Ставки!$A$2:$C$100,3,FALSE)</f>
        <v/>
      </c>
      <c r="J77" s="12">
        <f>F77*H77*G77</f>
        <v/>
      </c>
      <c r="K77" s="12">
        <f>E77*I77</f>
        <v/>
      </c>
      <c r="L77" s="3">
        <f>LOOKUP(E77,Бонусы!$A$7:$A$11,Бонусы!$B$7:$B$11)</f>
        <v/>
      </c>
      <c r="M77" s="12">
        <f>J77+K77+L77</f>
        <v/>
      </c>
    </row>
    <row r="78">
      <c r="A78" s="7" t="n">
        <v>46015</v>
      </c>
      <c r="B78" s="5" t="inlineStr">
        <is>
          <t>Сергей</t>
        </is>
      </c>
      <c r="C78" s="8" t="n">
        <v>0.4375</v>
      </c>
      <c r="D78" s="8" t="n">
        <v>0.7604166666666666</v>
      </c>
      <c r="E78" s="9" t="n">
        <v>26364</v>
      </c>
      <c r="F78" s="10">
        <f>IF(D78&lt;C78, (D78+1-C78)*24, (D78-C78)*24)</f>
        <v/>
      </c>
      <c r="G78" s="11">
        <f>IF(A78=DATE(2025,12,31),2,1)</f>
        <v/>
      </c>
      <c r="H78" s="3">
        <f>VLOOKUP(B78,Ставки!$A$2:$C$100,2,FALSE)</f>
        <v/>
      </c>
      <c r="I78" s="4">
        <f>VLOOKUP(B78,Ставки!$A$2:$C$100,3,FALSE)</f>
        <v/>
      </c>
      <c r="J78" s="12">
        <f>F78*H78*G78</f>
        <v/>
      </c>
      <c r="K78" s="12">
        <f>E78*I78</f>
        <v/>
      </c>
      <c r="L78" s="3">
        <f>LOOKUP(E78,Бонусы!$A$7:$A$11,Бонусы!$B$7:$B$11)</f>
        <v/>
      </c>
      <c r="M78" s="12">
        <f>J78+K78+L78</f>
        <v/>
      </c>
    </row>
    <row r="79">
      <c r="A79" s="7" t="n">
        <v>46015</v>
      </c>
      <c r="B79" s="5" t="inlineStr">
        <is>
          <t>Ольга</t>
        </is>
      </c>
      <c r="C79" s="8" t="n">
        <v>0.625</v>
      </c>
      <c r="D79" s="8" t="n">
        <v>0.96875</v>
      </c>
      <c r="E79" s="9" t="n">
        <v>48520</v>
      </c>
      <c r="F79" s="10">
        <f>IF(D79&lt;C79, (D79+1-C79)*24, (D79-C79)*24)</f>
        <v/>
      </c>
      <c r="G79" s="11">
        <f>IF(A79=DATE(2025,12,31),2,1)</f>
        <v/>
      </c>
      <c r="H79" s="3">
        <f>VLOOKUP(B79,Ставки!$A$2:$C$100,2,FALSE)</f>
        <v/>
      </c>
      <c r="I79" s="4">
        <f>VLOOKUP(B79,Ставки!$A$2:$C$100,3,FALSE)</f>
        <v/>
      </c>
      <c r="J79" s="12">
        <f>F79*H79*G79</f>
        <v/>
      </c>
      <c r="K79" s="12">
        <f>E79*I79</f>
        <v/>
      </c>
      <c r="L79" s="3">
        <f>LOOKUP(E79,Бонусы!$A$7:$A$11,Бонусы!$B$7:$B$11)</f>
        <v/>
      </c>
      <c r="M79" s="12">
        <f>J79+K79+L79</f>
        <v/>
      </c>
    </row>
    <row r="80">
      <c r="A80" s="7" t="n">
        <v>46016</v>
      </c>
      <c r="B80" s="5" t="inlineStr">
        <is>
          <t>Анна</t>
        </is>
      </c>
      <c r="C80" s="8" t="n">
        <v>0.3125</v>
      </c>
      <c r="D80" s="8" t="n">
        <v>0.6458333333333334</v>
      </c>
      <c r="E80" s="9" t="n">
        <v>24454</v>
      </c>
      <c r="F80" s="10">
        <f>IF(D80&lt;C80, (D80+1-C80)*24, (D80-C80)*24)</f>
        <v/>
      </c>
      <c r="G80" s="11">
        <f>IF(A80=DATE(2025,12,31),2,1)</f>
        <v/>
      </c>
      <c r="H80" s="3">
        <f>VLOOKUP(B80,Ставки!$A$2:$C$100,2,FALSE)</f>
        <v/>
      </c>
      <c r="I80" s="4">
        <f>VLOOKUP(B80,Ставки!$A$2:$C$100,3,FALSE)</f>
        <v/>
      </c>
      <c r="J80" s="12">
        <f>F80*H80*G80</f>
        <v/>
      </c>
      <c r="K80" s="12">
        <f>E80*I80</f>
        <v/>
      </c>
      <c r="L80" s="3">
        <f>LOOKUP(E80,Бонусы!$A$7:$A$11,Бонусы!$B$7:$B$11)</f>
        <v/>
      </c>
      <c r="M80" s="12">
        <f>J80+K80+L80</f>
        <v/>
      </c>
    </row>
    <row r="81">
      <c r="A81" s="7" t="n">
        <v>46016</v>
      </c>
      <c r="B81" s="5" t="inlineStr">
        <is>
          <t>Мария</t>
        </is>
      </c>
      <c r="C81" s="8" t="n">
        <v>0.4166666666666667</v>
      </c>
      <c r="D81" s="8" t="n">
        <v>0.7708333333333334</v>
      </c>
      <c r="E81" s="9" t="n">
        <v>38965</v>
      </c>
      <c r="F81" s="10">
        <f>IF(D81&lt;C81, (D81+1-C81)*24, (D81-C81)*24)</f>
        <v/>
      </c>
      <c r="G81" s="11">
        <f>IF(A81=DATE(2025,12,31),2,1)</f>
        <v/>
      </c>
      <c r="H81" s="3">
        <f>VLOOKUP(B81,Ставки!$A$2:$C$100,2,FALSE)</f>
        <v/>
      </c>
      <c r="I81" s="4">
        <f>VLOOKUP(B81,Ставки!$A$2:$C$100,3,FALSE)</f>
        <v/>
      </c>
      <c r="J81" s="12">
        <f>F81*H81*G81</f>
        <v/>
      </c>
      <c r="K81" s="12">
        <f>E81*I81</f>
        <v/>
      </c>
      <c r="L81" s="3">
        <f>LOOKUP(E81,Бонусы!$A$7:$A$11,Бонусы!$B$7:$B$11)</f>
        <v/>
      </c>
      <c r="M81" s="12">
        <f>J81+K81+L81</f>
        <v/>
      </c>
    </row>
    <row r="82">
      <c r="A82" s="7" t="n">
        <v>46016</v>
      </c>
      <c r="B82" s="5" t="inlineStr">
        <is>
          <t>Анна</t>
        </is>
      </c>
      <c r="C82" s="8" t="n">
        <v>0.6354166666666666</v>
      </c>
      <c r="D82" s="8" t="n">
        <v>0.9583333333333334</v>
      </c>
      <c r="E82" s="9" t="n">
        <v>32718</v>
      </c>
      <c r="F82" s="10">
        <f>IF(D82&lt;C82, (D82+1-C82)*24, (D82-C82)*24)</f>
        <v/>
      </c>
      <c r="G82" s="11">
        <f>IF(A82=DATE(2025,12,31),2,1)</f>
        <v/>
      </c>
      <c r="H82" s="3">
        <f>VLOOKUP(B82,Ставки!$A$2:$C$100,2,FALSE)</f>
        <v/>
      </c>
      <c r="I82" s="4">
        <f>VLOOKUP(B82,Ставки!$A$2:$C$100,3,FALSE)</f>
        <v/>
      </c>
      <c r="J82" s="12">
        <f>F82*H82*G82</f>
        <v/>
      </c>
      <c r="K82" s="12">
        <f>E82*I82</f>
        <v/>
      </c>
      <c r="L82" s="3">
        <f>LOOKUP(E82,Бонусы!$A$7:$A$11,Бонусы!$B$7:$B$11)</f>
        <v/>
      </c>
      <c r="M82" s="12">
        <f>J82+K82+L82</f>
        <v/>
      </c>
    </row>
    <row r="83">
      <c r="A83" s="7" t="n">
        <v>46017</v>
      </c>
      <c r="B83" s="5" t="inlineStr">
        <is>
          <t>Илья</t>
        </is>
      </c>
      <c r="C83" s="8" t="n">
        <v>0.3125</v>
      </c>
      <c r="D83" s="8" t="n">
        <v>0.6354166666666666</v>
      </c>
      <c r="E83" s="9" t="n">
        <v>32223</v>
      </c>
      <c r="F83" s="10">
        <f>IF(D83&lt;C83, (D83+1-C83)*24, (D83-C83)*24)</f>
        <v/>
      </c>
      <c r="G83" s="11">
        <f>IF(A83=DATE(2025,12,31),2,1)</f>
        <v/>
      </c>
      <c r="H83" s="3">
        <f>VLOOKUP(B83,Ставки!$A$2:$C$100,2,FALSE)</f>
        <v/>
      </c>
      <c r="I83" s="4">
        <f>VLOOKUP(B83,Ставки!$A$2:$C$100,3,FALSE)</f>
        <v/>
      </c>
      <c r="J83" s="12">
        <f>F83*H83*G83</f>
        <v/>
      </c>
      <c r="K83" s="12">
        <f>E83*I83</f>
        <v/>
      </c>
      <c r="L83" s="3">
        <f>LOOKUP(E83,Бонусы!$A$7:$A$11,Бонусы!$B$7:$B$11)</f>
        <v/>
      </c>
      <c r="M83" s="12">
        <f>J83+K83+L83</f>
        <v/>
      </c>
    </row>
    <row r="84">
      <c r="A84" s="7" t="n">
        <v>46017</v>
      </c>
      <c r="B84" s="5" t="inlineStr">
        <is>
          <t>Сергей</t>
        </is>
      </c>
      <c r="C84" s="8" t="n">
        <v>0.4479166666666667</v>
      </c>
      <c r="D84" s="8" t="n">
        <v>0.75</v>
      </c>
      <c r="E84" s="9" t="n">
        <v>24372</v>
      </c>
      <c r="F84" s="10">
        <f>IF(D84&lt;C84, (D84+1-C84)*24, (D84-C84)*24)</f>
        <v/>
      </c>
      <c r="G84" s="11">
        <f>IF(A84=DATE(2025,12,31),2,1)</f>
        <v/>
      </c>
      <c r="H84" s="3">
        <f>VLOOKUP(B84,Ставки!$A$2:$C$100,2,FALSE)</f>
        <v/>
      </c>
      <c r="I84" s="4">
        <f>VLOOKUP(B84,Ставки!$A$2:$C$100,3,FALSE)</f>
        <v/>
      </c>
      <c r="J84" s="12">
        <f>F84*H84*G84</f>
        <v/>
      </c>
      <c r="K84" s="12">
        <f>E84*I84</f>
        <v/>
      </c>
      <c r="L84" s="3">
        <f>LOOKUP(E84,Бонусы!$A$7:$A$11,Бонусы!$B$7:$B$11)</f>
        <v/>
      </c>
      <c r="M84" s="12">
        <f>J84+K84+L84</f>
        <v/>
      </c>
    </row>
    <row r="85">
      <c r="A85" s="7" t="n">
        <v>46017</v>
      </c>
      <c r="B85" s="5" t="inlineStr">
        <is>
          <t>Мария</t>
        </is>
      </c>
      <c r="C85" s="8" t="n">
        <v>0.4583333333333333</v>
      </c>
      <c r="D85" s="8" t="n">
        <v>0.8541666666666666</v>
      </c>
      <c r="E85" s="9" t="n">
        <v>42529</v>
      </c>
      <c r="F85" s="10">
        <f>IF(D85&lt;C85, (D85+1-C85)*24, (D85-C85)*24)</f>
        <v/>
      </c>
      <c r="G85" s="11">
        <f>IF(A85=DATE(2025,12,31),2,1)</f>
        <v/>
      </c>
      <c r="H85" s="3">
        <f>VLOOKUP(B85,Ставки!$A$2:$C$100,2,FALSE)</f>
        <v/>
      </c>
      <c r="I85" s="4">
        <f>VLOOKUP(B85,Ставки!$A$2:$C$100,3,FALSE)</f>
        <v/>
      </c>
      <c r="J85" s="12">
        <f>F85*H85*G85</f>
        <v/>
      </c>
      <c r="K85" s="12">
        <f>E85*I85</f>
        <v/>
      </c>
      <c r="L85" s="3">
        <f>LOOKUP(E85,Бонусы!$A$7:$A$11,Бонусы!$B$7:$B$11)</f>
        <v/>
      </c>
      <c r="M85" s="12">
        <f>J85+K85+L85</f>
        <v/>
      </c>
    </row>
    <row r="86">
      <c r="A86" s="7" t="n">
        <v>46017</v>
      </c>
      <c r="B86" s="5" t="inlineStr">
        <is>
          <t>Ольга</t>
        </is>
      </c>
      <c r="C86" s="8" t="n">
        <v>0.6354166666666666</v>
      </c>
      <c r="D86" s="8" t="n">
        <v>0.96875</v>
      </c>
      <c r="E86" s="9" t="n">
        <v>52120</v>
      </c>
      <c r="F86" s="10">
        <f>IF(D86&lt;C86, (D86+1-C86)*24, (D86-C86)*24)</f>
        <v/>
      </c>
      <c r="G86" s="11">
        <f>IF(A86=DATE(2025,12,31),2,1)</f>
        <v/>
      </c>
      <c r="H86" s="3">
        <f>VLOOKUP(B86,Ставки!$A$2:$C$100,2,FALSE)</f>
        <v/>
      </c>
      <c r="I86" s="4">
        <f>VLOOKUP(B86,Ставки!$A$2:$C$100,3,FALSE)</f>
        <v/>
      </c>
      <c r="J86" s="12">
        <f>F86*H86*G86</f>
        <v/>
      </c>
      <c r="K86" s="12">
        <f>E86*I86</f>
        <v/>
      </c>
      <c r="L86" s="3">
        <f>LOOKUP(E86,Бонусы!$A$7:$A$11,Бонусы!$B$7:$B$11)</f>
        <v/>
      </c>
      <c r="M86" s="12">
        <f>J86+K86+L86</f>
        <v/>
      </c>
    </row>
    <row r="87">
      <c r="A87" s="7" t="n">
        <v>46018</v>
      </c>
      <c r="B87" s="5" t="inlineStr">
        <is>
          <t>Илья</t>
        </is>
      </c>
      <c r="C87" s="8" t="n">
        <v>0.3125</v>
      </c>
      <c r="D87" s="8" t="n">
        <v>0.6458333333333334</v>
      </c>
      <c r="E87" s="9" t="n">
        <v>29626</v>
      </c>
      <c r="F87" s="10">
        <f>IF(D87&lt;C87, (D87+1-C87)*24, (D87-C87)*24)</f>
        <v/>
      </c>
      <c r="G87" s="11">
        <f>IF(A87=DATE(2025,12,31),2,1)</f>
        <v/>
      </c>
      <c r="H87" s="3">
        <f>VLOOKUP(B87,Ставки!$A$2:$C$100,2,FALSE)</f>
        <v/>
      </c>
      <c r="I87" s="4">
        <f>VLOOKUP(B87,Ставки!$A$2:$C$100,3,FALSE)</f>
        <v/>
      </c>
      <c r="J87" s="12">
        <f>F87*H87*G87</f>
        <v/>
      </c>
      <c r="K87" s="12">
        <f>E87*I87</f>
        <v/>
      </c>
      <c r="L87" s="3">
        <f>LOOKUP(E87,Бонусы!$A$7:$A$11,Бонусы!$B$7:$B$11)</f>
        <v/>
      </c>
      <c r="M87" s="12">
        <f>J87+K87+L87</f>
        <v/>
      </c>
    </row>
    <row r="88">
      <c r="A88" s="7" t="n">
        <v>46018</v>
      </c>
      <c r="B88" s="5" t="inlineStr">
        <is>
          <t>Мария</t>
        </is>
      </c>
      <c r="C88" s="8" t="n">
        <v>0.4270833333333333</v>
      </c>
      <c r="D88" s="8" t="n">
        <v>0.7708333333333334</v>
      </c>
      <c r="E88" s="9" t="n">
        <v>30256</v>
      </c>
      <c r="F88" s="10">
        <f>IF(D88&lt;C88, (D88+1-C88)*24, (D88-C88)*24)</f>
        <v/>
      </c>
      <c r="G88" s="11">
        <f>IF(A88=DATE(2025,12,31),2,1)</f>
        <v/>
      </c>
      <c r="H88" s="3">
        <f>VLOOKUP(B88,Ставки!$A$2:$C$100,2,FALSE)</f>
        <v/>
      </c>
      <c r="I88" s="4">
        <f>VLOOKUP(B88,Ставки!$A$2:$C$100,3,FALSE)</f>
        <v/>
      </c>
      <c r="J88" s="12">
        <f>F88*H88*G88</f>
        <v/>
      </c>
      <c r="K88" s="12">
        <f>E88*I88</f>
        <v/>
      </c>
      <c r="L88" s="3">
        <f>LOOKUP(E88,Бонусы!$A$7:$A$11,Бонусы!$B$7:$B$11)</f>
        <v/>
      </c>
      <c r="M88" s="12">
        <f>J88+K88+L88</f>
        <v/>
      </c>
    </row>
    <row r="89">
      <c r="A89" s="7" t="n">
        <v>46018</v>
      </c>
      <c r="B89" s="5" t="inlineStr">
        <is>
          <t>Ольга</t>
        </is>
      </c>
      <c r="C89" s="8" t="n">
        <v>0.46875</v>
      </c>
      <c r="D89" s="8" t="n">
        <v>0.8333333333333334</v>
      </c>
      <c r="E89" s="9" t="n">
        <v>50420</v>
      </c>
      <c r="F89" s="10">
        <f>IF(D89&lt;C89, (D89+1-C89)*24, (D89-C89)*24)</f>
        <v/>
      </c>
      <c r="G89" s="11">
        <f>IF(A89=DATE(2025,12,31),2,1)</f>
        <v/>
      </c>
      <c r="H89" s="3">
        <f>VLOOKUP(B89,Ставки!$A$2:$C$100,2,FALSE)</f>
        <v/>
      </c>
      <c r="I89" s="4">
        <f>VLOOKUP(B89,Ставки!$A$2:$C$100,3,FALSE)</f>
        <v/>
      </c>
      <c r="J89" s="12">
        <f>F89*H89*G89</f>
        <v/>
      </c>
      <c r="K89" s="12">
        <f>E89*I89</f>
        <v/>
      </c>
      <c r="L89" s="3">
        <f>LOOKUP(E89,Бонусы!$A$7:$A$11,Бонусы!$B$7:$B$11)</f>
        <v/>
      </c>
      <c r="M89" s="12">
        <f>J89+K89+L89</f>
        <v/>
      </c>
    </row>
    <row r="90">
      <c r="A90" s="7" t="n">
        <v>46018</v>
      </c>
      <c r="B90" s="5" t="inlineStr">
        <is>
          <t>Анна</t>
        </is>
      </c>
      <c r="C90" s="8" t="n">
        <v>0.65625</v>
      </c>
      <c r="D90" s="8" t="n">
        <v>0.96875</v>
      </c>
      <c r="E90" s="9" t="n">
        <v>44403</v>
      </c>
      <c r="F90" s="10">
        <f>IF(D90&lt;C90, (D90+1-C90)*24, (D90-C90)*24)</f>
        <v/>
      </c>
      <c r="G90" s="11">
        <f>IF(A90=DATE(2025,12,31),2,1)</f>
        <v/>
      </c>
      <c r="H90" s="3">
        <f>VLOOKUP(B90,Ставки!$A$2:$C$100,2,FALSE)</f>
        <v/>
      </c>
      <c r="I90" s="4">
        <f>VLOOKUP(B90,Ставки!$A$2:$C$100,3,FALSE)</f>
        <v/>
      </c>
      <c r="J90" s="12">
        <f>F90*H90*G90</f>
        <v/>
      </c>
      <c r="K90" s="12">
        <f>E90*I90</f>
        <v/>
      </c>
      <c r="L90" s="3">
        <f>LOOKUP(E90,Бонусы!$A$7:$A$11,Бонусы!$B$7:$B$11)</f>
        <v/>
      </c>
      <c r="M90" s="12">
        <f>J90+K90+L90</f>
        <v/>
      </c>
    </row>
    <row r="91">
      <c r="A91" s="7" t="n">
        <v>46019</v>
      </c>
      <c r="B91" s="5" t="inlineStr">
        <is>
          <t>Сергей</t>
        </is>
      </c>
      <c r="C91" s="8" t="n">
        <v>0.2916666666666667</v>
      </c>
      <c r="D91" s="8" t="n">
        <v>0.6354166666666666</v>
      </c>
      <c r="E91" s="9" t="n">
        <v>31112</v>
      </c>
      <c r="F91" s="10">
        <f>IF(D91&lt;C91, (D91+1-C91)*24, (D91-C91)*24)</f>
        <v/>
      </c>
      <c r="G91" s="11">
        <f>IF(A91=DATE(2025,12,31),2,1)</f>
        <v/>
      </c>
      <c r="H91" s="3">
        <f>VLOOKUP(B91,Ставки!$A$2:$C$100,2,FALSE)</f>
        <v/>
      </c>
      <c r="I91" s="4">
        <f>VLOOKUP(B91,Ставки!$A$2:$C$100,3,FALSE)</f>
        <v/>
      </c>
      <c r="J91" s="12">
        <f>F91*H91*G91</f>
        <v/>
      </c>
      <c r="K91" s="12">
        <f>E91*I91</f>
        <v/>
      </c>
      <c r="L91" s="3">
        <f>LOOKUP(E91,Бонусы!$A$7:$A$11,Бонусы!$B$7:$B$11)</f>
        <v/>
      </c>
      <c r="M91" s="12">
        <f>J91+K91+L91</f>
        <v/>
      </c>
    </row>
    <row r="92">
      <c r="A92" s="7" t="n">
        <v>46019</v>
      </c>
      <c r="B92" s="5" t="inlineStr">
        <is>
          <t>Анна</t>
        </is>
      </c>
      <c r="C92" s="8" t="n">
        <v>0.4479166666666667</v>
      </c>
      <c r="D92" s="8" t="n">
        <v>0.7708333333333334</v>
      </c>
      <c r="E92" s="9" t="n">
        <v>45292</v>
      </c>
      <c r="F92" s="10">
        <f>IF(D92&lt;C92, (D92+1-C92)*24, (D92-C92)*24)</f>
        <v/>
      </c>
      <c r="G92" s="11">
        <f>IF(A92=DATE(2025,12,31),2,1)</f>
        <v/>
      </c>
      <c r="H92" s="3">
        <f>VLOOKUP(B92,Ставки!$A$2:$C$100,2,FALSE)</f>
        <v/>
      </c>
      <c r="I92" s="4">
        <f>VLOOKUP(B92,Ставки!$A$2:$C$100,3,FALSE)</f>
        <v/>
      </c>
      <c r="J92" s="12">
        <f>F92*H92*G92</f>
        <v/>
      </c>
      <c r="K92" s="12">
        <f>E92*I92</f>
        <v/>
      </c>
      <c r="L92" s="3">
        <f>LOOKUP(E92,Бонусы!$A$7:$A$11,Бонусы!$B$7:$B$11)</f>
        <v/>
      </c>
      <c r="M92" s="12">
        <f>J92+K92+L92</f>
        <v/>
      </c>
    </row>
    <row r="93">
      <c r="A93" s="7" t="n">
        <v>46019</v>
      </c>
      <c r="B93" s="5" t="inlineStr">
        <is>
          <t>Мария</t>
        </is>
      </c>
      <c r="C93" s="8" t="n">
        <v>0.65625</v>
      </c>
      <c r="D93" s="8" t="n">
        <v>0.9791666666666666</v>
      </c>
      <c r="E93" s="9" t="n">
        <v>38282</v>
      </c>
      <c r="F93" s="10">
        <f>IF(D93&lt;C93, (D93+1-C93)*24, (D93-C93)*24)</f>
        <v/>
      </c>
      <c r="G93" s="11">
        <f>IF(A93=DATE(2025,12,31),2,1)</f>
        <v/>
      </c>
      <c r="H93" s="3">
        <f>VLOOKUP(B93,Ставки!$A$2:$C$100,2,FALSE)</f>
        <v/>
      </c>
      <c r="I93" s="4">
        <f>VLOOKUP(B93,Ставки!$A$2:$C$100,3,FALSE)</f>
        <v/>
      </c>
      <c r="J93" s="12">
        <f>F93*H93*G93</f>
        <v/>
      </c>
      <c r="K93" s="12">
        <f>E93*I93</f>
        <v/>
      </c>
      <c r="L93" s="3">
        <f>LOOKUP(E93,Бонусы!$A$7:$A$11,Бонусы!$B$7:$B$11)</f>
        <v/>
      </c>
      <c r="M93" s="12">
        <f>J93+K93+L93</f>
        <v/>
      </c>
    </row>
    <row r="94">
      <c r="A94" s="7" t="n">
        <v>46020</v>
      </c>
      <c r="B94" s="5" t="inlineStr">
        <is>
          <t>Илья</t>
        </is>
      </c>
      <c r="C94" s="8" t="n">
        <v>0.3229166666666667</v>
      </c>
      <c r="D94" s="8" t="n">
        <v>0.6458333333333334</v>
      </c>
      <c r="E94" s="9" t="n">
        <v>24538</v>
      </c>
      <c r="F94" s="10">
        <f>IF(D94&lt;C94, (D94+1-C94)*24, (D94-C94)*24)</f>
        <v/>
      </c>
      <c r="G94" s="11">
        <f>IF(A94=DATE(2025,12,31),2,1)</f>
        <v/>
      </c>
      <c r="H94" s="3">
        <f>VLOOKUP(B94,Ставки!$A$2:$C$100,2,FALSE)</f>
        <v/>
      </c>
      <c r="I94" s="4">
        <f>VLOOKUP(B94,Ставки!$A$2:$C$100,3,FALSE)</f>
        <v/>
      </c>
      <c r="J94" s="12">
        <f>F94*H94*G94</f>
        <v/>
      </c>
      <c r="K94" s="12">
        <f>E94*I94</f>
        <v/>
      </c>
      <c r="L94" s="3">
        <f>LOOKUP(E94,Бонусы!$A$7:$A$11,Бонусы!$B$7:$B$11)</f>
        <v/>
      </c>
      <c r="M94" s="12">
        <f>J94+K94+L94</f>
        <v/>
      </c>
    </row>
    <row r="95">
      <c r="A95" s="7" t="n">
        <v>46020</v>
      </c>
      <c r="B95" s="5" t="inlineStr">
        <is>
          <t>Сергей</t>
        </is>
      </c>
      <c r="C95" s="8" t="n">
        <v>0.4375</v>
      </c>
      <c r="D95" s="8" t="n">
        <v>0.7708333333333334</v>
      </c>
      <c r="E95" s="9" t="n">
        <v>36131</v>
      </c>
      <c r="F95" s="10">
        <f>IF(D95&lt;C95, (D95+1-C95)*24, (D95-C95)*24)</f>
        <v/>
      </c>
      <c r="G95" s="11">
        <f>IF(A95=DATE(2025,12,31),2,1)</f>
        <v/>
      </c>
      <c r="H95" s="3">
        <f>VLOOKUP(B95,Ставки!$A$2:$C$100,2,FALSE)</f>
        <v/>
      </c>
      <c r="I95" s="4">
        <f>VLOOKUP(B95,Ставки!$A$2:$C$100,3,FALSE)</f>
        <v/>
      </c>
      <c r="J95" s="12">
        <f>F95*H95*G95</f>
        <v/>
      </c>
      <c r="K95" s="12">
        <f>E95*I95</f>
        <v/>
      </c>
      <c r="L95" s="3">
        <f>LOOKUP(E95,Бонусы!$A$7:$A$11,Бонусы!$B$7:$B$11)</f>
        <v/>
      </c>
      <c r="M95" s="12">
        <f>J95+K95+L95</f>
        <v/>
      </c>
    </row>
    <row r="96">
      <c r="A96" s="7" t="n">
        <v>46020</v>
      </c>
      <c r="B96" s="5" t="inlineStr">
        <is>
          <t>Ольга</t>
        </is>
      </c>
      <c r="C96" s="8" t="n">
        <v>0.625</v>
      </c>
      <c r="D96" s="8" t="n">
        <v>0.96875</v>
      </c>
      <c r="E96" s="9" t="n">
        <v>41475</v>
      </c>
      <c r="F96" s="10">
        <f>IF(D96&lt;C96, (D96+1-C96)*24, (D96-C96)*24)</f>
        <v/>
      </c>
      <c r="G96" s="11">
        <f>IF(A96=DATE(2025,12,31),2,1)</f>
        <v/>
      </c>
      <c r="H96" s="3">
        <f>VLOOKUP(B96,Ставки!$A$2:$C$100,2,FALSE)</f>
        <v/>
      </c>
      <c r="I96" s="4">
        <f>VLOOKUP(B96,Ставки!$A$2:$C$100,3,FALSE)</f>
        <v/>
      </c>
      <c r="J96" s="12">
        <f>F96*H96*G96</f>
        <v/>
      </c>
      <c r="K96" s="12">
        <f>E96*I96</f>
        <v/>
      </c>
      <c r="L96" s="3">
        <f>LOOKUP(E96,Бонусы!$A$7:$A$11,Бонусы!$B$7:$B$11)</f>
        <v/>
      </c>
      <c r="M96" s="12">
        <f>J96+K96+L96</f>
        <v/>
      </c>
    </row>
    <row r="97">
      <c r="A97" s="7" t="n">
        <v>46021</v>
      </c>
      <c r="B97" s="5" t="inlineStr">
        <is>
          <t>Сергей</t>
        </is>
      </c>
      <c r="C97" s="8" t="n">
        <v>0.3125</v>
      </c>
      <c r="D97" s="8" t="n">
        <v>0.625</v>
      </c>
      <c r="E97" s="9" t="n">
        <v>30053</v>
      </c>
      <c r="F97" s="10">
        <f>IF(D97&lt;C97, (D97+1-C97)*24, (D97-C97)*24)</f>
        <v/>
      </c>
      <c r="G97" s="11">
        <f>IF(A97=DATE(2025,12,31),2,1)</f>
        <v/>
      </c>
      <c r="H97" s="3">
        <f>VLOOKUP(B97,Ставки!$A$2:$C$100,2,FALSE)</f>
        <v/>
      </c>
      <c r="I97" s="4">
        <f>VLOOKUP(B97,Ставки!$A$2:$C$100,3,FALSE)</f>
        <v/>
      </c>
      <c r="J97" s="12">
        <f>F97*H97*G97</f>
        <v/>
      </c>
      <c r="K97" s="12">
        <f>E97*I97</f>
        <v/>
      </c>
      <c r="L97" s="3">
        <f>LOOKUP(E97,Бонусы!$A$7:$A$11,Бонусы!$B$7:$B$11)</f>
        <v/>
      </c>
      <c r="M97" s="12">
        <f>J97+K97+L97</f>
        <v/>
      </c>
    </row>
    <row r="98">
      <c r="A98" s="7" t="n">
        <v>46021</v>
      </c>
      <c r="B98" s="5" t="inlineStr">
        <is>
          <t>Мария</t>
        </is>
      </c>
      <c r="C98" s="8" t="n">
        <v>0.4375</v>
      </c>
      <c r="D98" s="8" t="n">
        <v>0.7708333333333334</v>
      </c>
      <c r="E98" s="9" t="n">
        <v>21690</v>
      </c>
      <c r="F98" s="10">
        <f>IF(D98&lt;C98, (D98+1-C98)*24, (D98-C98)*24)</f>
        <v/>
      </c>
      <c r="G98" s="11">
        <f>IF(A98=DATE(2025,12,31),2,1)</f>
        <v/>
      </c>
      <c r="H98" s="3">
        <f>VLOOKUP(B98,Ставки!$A$2:$C$100,2,FALSE)</f>
        <v/>
      </c>
      <c r="I98" s="4">
        <f>VLOOKUP(B98,Ставки!$A$2:$C$100,3,FALSE)</f>
        <v/>
      </c>
      <c r="J98" s="12">
        <f>F98*H98*G98</f>
        <v/>
      </c>
      <c r="K98" s="12">
        <f>E98*I98</f>
        <v/>
      </c>
      <c r="L98" s="3">
        <f>LOOKUP(E98,Бонусы!$A$7:$A$11,Бонусы!$B$7:$B$11)</f>
        <v/>
      </c>
      <c r="M98" s="12">
        <f>J98+K98+L98</f>
        <v/>
      </c>
    </row>
    <row r="99">
      <c r="A99" s="7" t="n">
        <v>46021</v>
      </c>
      <c r="B99" s="5" t="inlineStr">
        <is>
          <t>Илья</t>
        </is>
      </c>
      <c r="C99" s="8" t="n">
        <v>0.65625</v>
      </c>
      <c r="D99" s="8" t="n">
        <v>0.9583333333333334</v>
      </c>
      <c r="E99" s="9" t="n">
        <v>42546</v>
      </c>
      <c r="F99" s="10">
        <f>IF(D99&lt;C99, (D99+1-C99)*24, (D99-C99)*24)</f>
        <v/>
      </c>
      <c r="G99" s="11">
        <f>IF(A99=DATE(2025,12,31),2,1)</f>
        <v/>
      </c>
      <c r="H99" s="3">
        <f>VLOOKUP(B99,Ставки!$A$2:$C$100,2,FALSE)</f>
        <v/>
      </c>
      <c r="I99" s="4">
        <f>VLOOKUP(B99,Ставки!$A$2:$C$100,3,FALSE)</f>
        <v/>
      </c>
      <c r="J99" s="12">
        <f>F99*H99*G99</f>
        <v/>
      </c>
      <c r="K99" s="12">
        <f>E99*I99</f>
        <v/>
      </c>
      <c r="L99" s="3">
        <f>LOOKUP(E99,Бонусы!$A$7:$A$11,Бонусы!$B$7:$B$11)</f>
        <v/>
      </c>
      <c r="M99" s="12">
        <f>J99+K99+L99</f>
        <v/>
      </c>
    </row>
    <row r="100">
      <c r="A100" s="7" t="n">
        <v>46022</v>
      </c>
      <c r="B100" s="5" t="inlineStr">
        <is>
          <t>Ольга</t>
        </is>
      </c>
      <c r="C100" s="8" t="n">
        <v>0.2916666666666667</v>
      </c>
      <c r="D100" s="8" t="n">
        <v>0.6354166666666666</v>
      </c>
      <c r="E100" s="9" t="n">
        <v>43828</v>
      </c>
      <c r="F100" s="10">
        <f>IF(D100&lt;C100, (D100+1-C100)*24, (D100-C100)*24)</f>
        <v/>
      </c>
      <c r="G100" s="11">
        <f>IF(A100=DATE(2025,12,31),2,1)</f>
        <v/>
      </c>
      <c r="H100" s="3">
        <f>VLOOKUP(B100,Ставки!$A$2:$C$100,2,FALSE)</f>
        <v/>
      </c>
      <c r="I100" s="4">
        <f>VLOOKUP(B100,Ставки!$A$2:$C$100,3,FALSE)</f>
        <v/>
      </c>
      <c r="J100" s="12">
        <f>F100*H100*G100</f>
        <v/>
      </c>
      <c r="K100" s="12">
        <f>E100*I100</f>
        <v/>
      </c>
      <c r="L100" s="3">
        <f>LOOKUP(E100,Бонусы!$A$7:$A$11,Бонусы!$B$7:$B$11)</f>
        <v/>
      </c>
      <c r="M100" s="12">
        <f>J100+K100+L100</f>
        <v/>
      </c>
    </row>
    <row r="101">
      <c r="A101" s="7" t="n">
        <v>46022</v>
      </c>
      <c r="B101" s="5" t="inlineStr">
        <is>
          <t>Анна</t>
        </is>
      </c>
      <c r="C101" s="8" t="n">
        <v>0.4479166666666667</v>
      </c>
      <c r="D101" s="8" t="n">
        <v>0.75</v>
      </c>
      <c r="E101" s="9" t="n">
        <v>37625</v>
      </c>
      <c r="F101" s="10">
        <f>IF(D101&lt;C101, (D101+1-C101)*24, (D101-C101)*24)</f>
        <v/>
      </c>
      <c r="G101" s="11">
        <f>IF(A101=DATE(2025,12,31),2,1)</f>
        <v/>
      </c>
      <c r="H101" s="3">
        <f>VLOOKUP(B101,Ставки!$A$2:$C$100,2,FALSE)</f>
        <v/>
      </c>
      <c r="I101" s="4">
        <f>VLOOKUP(B101,Ставки!$A$2:$C$100,3,FALSE)</f>
        <v/>
      </c>
      <c r="J101" s="12">
        <f>F101*H101*G101</f>
        <v/>
      </c>
      <c r="K101" s="12">
        <f>E101*I101</f>
        <v/>
      </c>
      <c r="L101" s="3">
        <f>LOOKUP(E101,Бонусы!$A$7:$A$11,Бонусы!$B$7:$B$11)</f>
        <v/>
      </c>
      <c r="M101" s="12">
        <f>J101+K101+L101</f>
        <v/>
      </c>
    </row>
    <row r="102">
      <c r="A102" s="7" t="n">
        <v>46022</v>
      </c>
      <c r="B102" s="5" t="inlineStr">
        <is>
          <t>Сергей</t>
        </is>
      </c>
      <c r="C102" s="8" t="n">
        <v>0.65625</v>
      </c>
      <c r="D102" s="8" t="n">
        <v>0.9791666666666666</v>
      </c>
      <c r="E102" s="9" t="n">
        <v>57457</v>
      </c>
      <c r="F102" s="10">
        <f>IF(D102&lt;C102, (D102+1-C102)*24, (D102-C102)*24)</f>
        <v/>
      </c>
      <c r="G102" s="11">
        <f>IF(A102=DATE(2025,12,31),2,1)</f>
        <v/>
      </c>
      <c r="H102" s="3">
        <f>VLOOKUP(B102,Ставки!$A$2:$C$100,2,FALSE)</f>
        <v/>
      </c>
      <c r="I102" s="4">
        <f>VLOOKUP(B102,Ставки!$A$2:$C$100,3,FALSE)</f>
        <v/>
      </c>
      <c r="J102" s="12">
        <f>F102*H102*G102</f>
        <v/>
      </c>
      <c r="K102" s="12">
        <f>E102*I102</f>
        <v/>
      </c>
      <c r="L102" s="3">
        <f>LOOKUP(E102,Бонусы!$A$7:$A$11,Бонусы!$B$7:$B$11)</f>
        <v/>
      </c>
      <c r="M102" s="12">
        <f>J102+K102+L102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>
      <c r="A1" s="13" t="inlineStr">
        <is>
          <t>Зарплата за период (декабрь 2025)</t>
        </is>
      </c>
    </row>
    <row r="2">
      <c r="A2" s="2" t="inlineStr">
        <is>
          <t>Период с</t>
        </is>
      </c>
      <c r="B2" s="7" t="n">
        <v>45992</v>
      </c>
    </row>
    <row r="3">
      <c r="A3" s="2" t="inlineStr">
        <is>
          <t>Период по</t>
        </is>
      </c>
      <c r="B3" s="7" t="n">
        <v>46022</v>
      </c>
    </row>
    <row r="4"/>
    <row r="5">
      <c r="A5" s="1" t="inlineStr">
        <is>
          <t>Сотрудник</t>
        </is>
      </c>
      <c r="B5" s="1" t="inlineStr">
        <is>
          <t>Часы</t>
        </is>
      </c>
      <c r="C5" s="1" t="inlineStr">
        <is>
          <t>Базовая часть (₽)</t>
        </is>
      </c>
      <c r="D5" s="1" t="inlineStr">
        <is>
          <t>% от выручки (₽)</t>
        </is>
      </c>
      <c r="E5" s="1" t="inlineStr">
        <is>
          <t>Бонусы (₽)</t>
        </is>
      </c>
      <c r="F5" s="1" t="inlineStr">
        <is>
          <t>Итого (₽)</t>
        </is>
      </c>
    </row>
    <row r="6">
      <c r="A6" s="2" t="inlineStr">
        <is>
          <t>Анна</t>
        </is>
      </c>
      <c r="B6" s="10">
        <f>SUMIFS(Смены!$F:$F,Смены!$B:$B,$A6,Смены!$A:$A,"&gt;="&amp;$B$2,Смены!$A:$A,"&lt;="&amp;$B$3)</f>
        <v/>
      </c>
      <c r="C6" s="12">
        <f>SUMIFS(Смены!$J:$J,Смены!$B:$B,$A6,Смены!$A:$A,"&gt;="&amp;$B$2,Смены!$A:$A,"&lt;="&amp;$B$3)</f>
        <v/>
      </c>
      <c r="D6" s="12">
        <f>SUMIFS(Смены!$K:$K,Смены!$B:$B,$A6,Смены!$A:$A,"&gt;="&amp;$B$2,Смены!$A:$A,"&lt;="&amp;$B$3)</f>
        <v/>
      </c>
      <c r="E6" s="12">
        <f>SUMIFS(Смены!$L:$L,Смены!$B:$B,$A6,Смены!$A:$A,"&gt;="&amp;$B$2,Смены!$A:$A,"&lt;="&amp;$B$3)</f>
        <v/>
      </c>
      <c r="F6" s="12">
        <f>SUMIFS(Смены!$M:$M,Смены!$B:$B,$A6,Смены!$A:$A,"&gt;="&amp;$B$2,Смены!$A:$A,"&lt;="&amp;$B$3)</f>
        <v/>
      </c>
    </row>
    <row r="7">
      <c r="A7" s="2" t="inlineStr">
        <is>
          <t>Илья</t>
        </is>
      </c>
      <c r="B7" s="10">
        <f>SUMIFS(Смены!$F:$F,Смены!$B:$B,$A7,Смены!$A:$A,"&gt;="&amp;$B$2,Смены!$A:$A,"&lt;="&amp;$B$3)</f>
        <v/>
      </c>
      <c r="C7" s="12">
        <f>SUMIFS(Смены!$J:$J,Смены!$B:$B,$A7,Смены!$A:$A,"&gt;="&amp;$B$2,Смены!$A:$A,"&lt;="&amp;$B$3)</f>
        <v/>
      </c>
      <c r="D7" s="12">
        <f>SUMIFS(Смены!$K:$K,Смены!$B:$B,$A7,Смены!$A:$A,"&gt;="&amp;$B$2,Смены!$A:$A,"&lt;="&amp;$B$3)</f>
        <v/>
      </c>
      <c r="E7" s="12">
        <f>SUMIFS(Смены!$L:$L,Смены!$B:$B,$A7,Смены!$A:$A,"&gt;="&amp;$B$2,Смены!$A:$A,"&lt;="&amp;$B$3)</f>
        <v/>
      </c>
      <c r="F7" s="12">
        <f>SUMIFS(Смены!$M:$M,Смены!$B:$B,$A7,Смены!$A:$A,"&gt;="&amp;$B$2,Смены!$A:$A,"&lt;="&amp;$B$3)</f>
        <v/>
      </c>
    </row>
    <row r="8">
      <c r="A8" s="2" t="inlineStr">
        <is>
          <t>Мария</t>
        </is>
      </c>
      <c r="B8" s="10">
        <f>SUMIFS(Смены!$F:$F,Смены!$B:$B,$A8,Смены!$A:$A,"&gt;="&amp;$B$2,Смены!$A:$A,"&lt;="&amp;$B$3)</f>
        <v/>
      </c>
      <c r="C8" s="12">
        <f>SUMIFS(Смены!$J:$J,Смены!$B:$B,$A8,Смены!$A:$A,"&gt;="&amp;$B$2,Смены!$A:$A,"&lt;="&amp;$B$3)</f>
        <v/>
      </c>
      <c r="D8" s="12">
        <f>SUMIFS(Смены!$K:$K,Смены!$B:$B,$A8,Смены!$A:$A,"&gt;="&amp;$B$2,Смены!$A:$A,"&lt;="&amp;$B$3)</f>
        <v/>
      </c>
      <c r="E8" s="12">
        <f>SUMIFS(Смены!$L:$L,Смены!$B:$B,$A8,Смены!$A:$A,"&gt;="&amp;$B$2,Смены!$A:$A,"&lt;="&amp;$B$3)</f>
        <v/>
      </c>
      <c r="F8" s="12">
        <f>SUMIFS(Смены!$M:$M,Смены!$B:$B,$A8,Смены!$A:$A,"&gt;="&amp;$B$2,Смены!$A:$A,"&lt;="&amp;$B$3)</f>
        <v/>
      </c>
    </row>
    <row r="9">
      <c r="A9" s="2" t="inlineStr">
        <is>
          <t>Сергей</t>
        </is>
      </c>
      <c r="B9" s="10">
        <f>SUMIFS(Смены!$F:$F,Смены!$B:$B,$A9,Смены!$A:$A,"&gt;="&amp;$B$2,Смены!$A:$A,"&lt;="&amp;$B$3)</f>
        <v/>
      </c>
      <c r="C9" s="12">
        <f>SUMIFS(Смены!$J:$J,Смены!$B:$B,$A9,Смены!$A:$A,"&gt;="&amp;$B$2,Смены!$A:$A,"&lt;="&amp;$B$3)</f>
        <v/>
      </c>
      <c r="D9" s="12">
        <f>SUMIFS(Смены!$K:$K,Смены!$B:$B,$A9,Смены!$A:$A,"&gt;="&amp;$B$2,Смены!$A:$A,"&lt;="&amp;$B$3)</f>
        <v/>
      </c>
      <c r="E9" s="12">
        <f>SUMIFS(Смены!$L:$L,Смены!$B:$B,$A9,Смены!$A:$A,"&gt;="&amp;$B$2,Смены!$A:$A,"&lt;="&amp;$B$3)</f>
        <v/>
      </c>
      <c r="F9" s="12">
        <f>SUMIFS(Смены!$M:$M,Смены!$B:$B,$A9,Смены!$A:$A,"&gt;="&amp;$B$2,Смены!$A:$A,"&lt;="&amp;$B$3)</f>
        <v/>
      </c>
    </row>
    <row r="10">
      <c r="A10" s="2" t="inlineStr">
        <is>
          <t>Ольга</t>
        </is>
      </c>
      <c r="B10" s="10">
        <f>SUMIFS(Смены!$F:$F,Смены!$B:$B,$A10,Смены!$A:$A,"&gt;="&amp;$B$2,Смены!$A:$A,"&lt;="&amp;$B$3)</f>
        <v/>
      </c>
      <c r="C10" s="12">
        <f>SUMIFS(Смены!$J:$J,Смены!$B:$B,$A10,Смены!$A:$A,"&gt;="&amp;$B$2,Смены!$A:$A,"&lt;="&amp;$B$3)</f>
        <v/>
      </c>
      <c r="D10" s="12">
        <f>SUMIFS(Смены!$K:$K,Смены!$B:$B,$A10,Смены!$A:$A,"&gt;="&amp;$B$2,Смены!$A:$A,"&lt;="&amp;$B$3)</f>
        <v/>
      </c>
      <c r="E10" s="12">
        <f>SUMIFS(Смены!$L:$L,Смены!$B:$B,$A10,Смены!$A:$A,"&gt;="&amp;$B$2,Смены!$A:$A,"&lt;="&amp;$B$3)</f>
        <v/>
      </c>
      <c r="F10" s="12">
        <f>SUMIFS(Смены!$M:$M,Смены!$B:$B,$A10,Смены!$A:$A,"&gt;="&amp;$B$2,Смены!$A:$A,"&lt;="&amp;$B$3)</f>
        <v/>
      </c>
    </row>
    <row r="11">
      <c r="A11" s="14" t="inlineStr">
        <is>
          <t>ИТОГО</t>
        </is>
      </c>
      <c r="B11" s="15">
        <f>SUM(B6:B10)</f>
        <v/>
      </c>
      <c r="C11" s="16">
        <f>SUM(C6:C10)</f>
        <v/>
      </c>
      <c r="D11" s="16">
        <f>SUM(D6:D10)</f>
        <v/>
      </c>
      <c r="E11" s="16">
        <f>SUM(E6:E10)</f>
        <v/>
      </c>
      <c r="F11" s="16">
        <f>SUM(F6:F10)</f>
        <v/>
      </c>
    </row>
    <row r="12"/>
    <row r="13">
      <c r="A13" s="17" t="inlineStr">
        <is>
          <t>Подсказки для автоматизации:</t>
        </is>
      </c>
    </row>
    <row r="14">
      <c r="A14" s="18" t="inlineStr">
        <is>
          <t>• Добавляйте новые строки в лист "Смены" (колонки A–E). Расчёты считаются формулами справа.</t>
        </is>
      </c>
    </row>
    <row r="15">
      <c r="A15" s="18" t="inlineStr">
        <is>
          <t>• Ставки и проценты меняются в листе "Ставки".</t>
        </is>
      </c>
    </row>
    <row r="16">
      <c r="A16" s="18" t="inlineStr">
        <is>
          <t>• KPI-бонусы настраиваются в листе "Бонусы" (пороги должны быть отсортированы по возрастанию).</t>
        </is>
      </c>
    </row>
    <row r="17">
      <c r="A17" s="18" t="inlineStr">
        <is>
          <t>• Двойная оплата 31.12.2025 применяется к базовой части через колонку "Множитель" в листе "Смены".</t>
        </is>
      </c>
    </row>
  </sheetData>
  <mergeCells count="6">
    <mergeCell ref="A16:F16"/>
    <mergeCell ref="A13:F13"/>
    <mergeCell ref="A14:F14"/>
    <mergeCell ref="A1:F1"/>
    <mergeCell ref="A17:F17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2026-01-19T02:15:53Z</dcterms:created>
  <dcterms:modified xmlns:dcterms="http://purl.org/dc/terms/" xmlns:xsi="http://www.w3.org/2001/XMLSchema-instance" xsi:type="dcterms:W3CDTF">2026-01-19T02:15:53Z</dcterms:modified>
</cp:coreProperties>
</file>